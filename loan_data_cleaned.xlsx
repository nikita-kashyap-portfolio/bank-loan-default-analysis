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82E2A552-1B85-44BD-895C-D8FD89455351}" xr6:coauthVersionLast="47" xr6:coauthVersionMax="47" xr10:uidLastSave="{00000000-0000-0000-0000-000000000000}"/>
  <bookViews>
    <workbookView xWindow="-108" yWindow="-108" windowWidth="23256" windowHeight="13896" xr2:uid="{0B06D231-B39B-4E33-94E2-DBB7AFB4EFA4}"/>
  </bookViews>
  <sheets>
    <sheet name="loan_dataset" sheetId="1" r:id="rId1"/>
    <sheet name="Income_Group" sheetId="8" r:id="rId2"/>
    <sheet name="City_Tier" sheetId="10" r:id="rId3"/>
    <sheet name="Loan_Amount" sheetId="11" r:id="rId4"/>
  </sheets>
  <definedNames>
    <definedName name="_xlnm._FilterDatabase" localSheetId="3" hidden="1">Loan_Amount!$A$3:$D$10</definedName>
    <definedName name="_xlnm._FilterDatabase" localSheetId="0" hidden="1">loan_dataset!$A$1:$U$368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1" l="1"/>
  <c r="D6" i="11"/>
  <c r="D7" i="11"/>
  <c r="D8" i="11"/>
  <c r="D9" i="11"/>
  <c r="D10" i="11"/>
  <c r="D4" i="11"/>
  <c r="D5" i="10"/>
  <c r="D6" i="10"/>
  <c r="D7" i="10"/>
  <c r="D4" i="10"/>
  <c r="D5" i="8"/>
  <c r="D6" i="8"/>
  <c r="D7" i="8"/>
  <c r="D8" i="8"/>
  <c r="D9" i="8"/>
  <c r="D4" i="8"/>
</calcChain>
</file>

<file path=xl/sharedStrings.xml><?xml version="1.0" encoding="utf-8"?>
<sst xmlns="http://schemas.openxmlformats.org/spreadsheetml/2006/main" count="3720" uniqueCount="420">
  <si>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</si>
  <si>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</si>
  <si>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</si>
  <si>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</si>
  <si>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</si>
  <si>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</si>
  <si>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</si>
  <si>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</si>
  <si>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</si>
  <si>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</si>
  <si>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</si>
  <si>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</si>
  <si>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LP001015</t>
  </si>
  <si>
    <t>Male</t>
  </si>
  <si>
    <t>Yes</t>
  </si>
  <si>
    <t>Graduate</t>
  </si>
  <si>
    <t>No</t>
  </si>
  <si>
    <t>Urban</t>
  </si>
  <si>
    <t>LP001022</t>
  </si>
  <si>
    <t>LP001031</t>
  </si>
  <si>
    <t>LP001035</t>
  </si>
  <si>
    <t>LP001051</t>
  </si>
  <si>
    <t>Not Graduate</t>
  </si>
  <si>
    <t>LP001054</t>
  </si>
  <si>
    <t>LP001055</t>
  </si>
  <si>
    <t>Female</t>
  </si>
  <si>
    <t>Semiurban</t>
  </si>
  <si>
    <t>LP001056</t>
  </si>
  <si>
    <t>Rural</t>
  </si>
  <si>
    <t>LP001059</t>
  </si>
  <si>
    <t>LP001067</t>
  </si>
  <si>
    <t>LP001078</t>
  </si>
  <si>
    <t>LP001082</t>
  </si>
  <si>
    <t>LP001083</t>
  </si>
  <si>
    <t>LP001094</t>
  </si>
  <si>
    <t>LP001096</t>
  </si>
  <si>
    <t>LP001099</t>
  </si>
  <si>
    <t>LP001105</t>
  </si>
  <si>
    <t>LP001107</t>
  </si>
  <si>
    <t>LP001108</t>
  </si>
  <si>
    <t>LP001115</t>
  </si>
  <si>
    <t>LP001121</t>
  </si>
  <si>
    <t>LP001124</t>
  </si>
  <si>
    <t>LP001128</t>
  </si>
  <si>
    <t>LP001135</t>
  </si>
  <si>
    <t>LP001149</t>
  </si>
  <si>
    <t>LP001153</t>
  </si>
  <si>
    <t>LP001163</t>
  </si>
  <si>
    <t>LP001169</t>
  </si>
  <si>
    <t>LP001174</t>
  </si>
  <si>
    <t>LP001176</t>
  </si>
  <si>
    <t>LP001177</t>
  </si>
  <si>
    <t>LP001183</t>
  </si>
  <si>
    <t>LP001185</t>
  </si>
  <si>
    <t>LP001187</t>
  </si>
  <si>
    <t>LP001190</t>
  </si>
  <si>
    <t>LP001203</t>
  </si>
  <si>
    <t>LP001208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</si>
  <si>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</si>
  <si>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</si>
  <si>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</si>
  <si>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</si>
  <si>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</si>
  <si>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</si>
  <si>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</si>
  <si>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</si>
  <si>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LP001232</t>
  </si>
  <si>
    <t>LP001237</t>
  </si>
  <si>
    <t>LP001242</t>
  </si>
  <si>
    <t>LP001268</t>
  </si>
  <si>
    <t>LP001270</t>
  </si>
  <si>
    <t>LP001284</t>
  </si>
  <si>
    <t>LP001287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</si>
  <si>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</si>
  <si>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</si>
  <si>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</si>
  <si>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</si>
  <si>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</si>
  <si>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</si>
  <si>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</si>
  <si>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</si>
  <si>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</si>
  <si>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</si>
  <si>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</si>
  <si>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</si>
  <si>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</si>
  <si>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</si>
  <si>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</si>
  <si>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</si>
  <si>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</si>
  <si>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</si>
  <si>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</si>
  <si>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</si>
  <si>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LP001375</t>
  </si>
  <si>
    <t>LP001380</t>
  </si>
  <si>
    <t>LP001386</t>
  </si>
  <si>
    <t>LP001400</t>
  </si>
  <si>
    <t>LP001407</t>
  </si>
  <si>
    <t>LP001413</t>
  </si>
  <si>
    <t>LP001415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</si>
  <si>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</si>
  <si>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</si>
  <si>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</si>
  <si>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</si>
  <si>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</si>
  <si>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</si>
  <si>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</si>
  <si>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</si>
  <si>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</si>
  <si>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</si>
  <si>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LP001472</t>
  </si>
  <si>
    <t>LP001475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</si>
  <si>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</si>
  <si>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</si>
  <si>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</si>
  <si>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</si>
  <si>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</si>
  <si>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</si>
  <si>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</si>
  <si>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</si>
  <si>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LP001527</t>
  </si>
  <si>
    <t>LP001534</t>
  </si>
  <si>
    <t>LP001542</t>
  </si>
  <si>
    <t>LP001547</t>
  </si>
  <si>
    <t>LP001548</t>
  </si>
  <si>
    <t>LP001558</t>
  </si>
  <si>
    <t>LP001561</t>
  </si>
  <si>
    <t>LP001563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</si>
  <si>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</si>
  <si>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</si>
  <si>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</si>
  <si>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</si>
  <si>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</si>
  <si>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</si>
  <si>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</si>
  <si>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</si>
  <si>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LP001601</t>
  </si>
  <si>
    <t>LP001607</t>
  </si>
  <si>
    <t>LP001611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</si>
  <si>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</si>
  <si>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</si>
  <si>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</si>
  <si>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</si>
  <si>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</si>
  <si>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</si>
  <si>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</si>
  <si>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</si>
  <si>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</si>
  <si>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</si>
  <si>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</si>
  <si>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LP001695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</si>
  <si>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</si>
  <si>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</si>
  <si>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</si>
  <si>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</si>
  <si>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</si>
  <si>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</si>
  <si>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</si>
  <si>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</si>
  <si>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LP001769</t>
  </si>
  <si>
    <t>LP001771</t>
  </si>
  <si>
    <t>LP001785</t>
  </si>
  <si>
    <t>LP001787</t>
  </si>
  <si>
    <t>LP001789</t>
  </si>
  <si>
    <t>LP001791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</si>
  <si>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</si>
  <si>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</si>
  <si>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</si>
  <si>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</si>
  <si>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</si>
  <si>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</si>
  <si>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</si>
  <si>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</si>
  <si>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</si>
  <si>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</si>
  <si>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</si>
  <si>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</si>
  <si>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</si>
  <si>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</si>
  <si>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</si>
  <si>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</si>
  <si>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</si>
  <si>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LP001906</t>
  </si>
  <si>
    <t>LP001909</t>
  </si>
  <si>
    <t>LP001911</t>
  </si>
  <si>
    <t>LP001921</t>
  </si>
  <si>
    <t>LP001923</t>
  </si>
  <si>
    <t>LP001933</t>
  </si>
  <si>
    <t>LP001943</t>
  </si>
  <si>
    <t>LP001950</t>
  </si>
  <si>
    <t>LP001959</t>
  </si>
  <si>
    <t>LP001961</t>
  </si>
  <si>
    <t>LP001973</t>
  </si>
  <si>
    <t>LP001975</t>
  </si>
  <si>
    <t>LP001979</t>
  </si>
  <si>
    <t>LP001995</t>
  </si>
  <si>
    <t>LP001999</t>
  </si>
  <si>
    <t>LP002007</t>
  </si>
  <si>
    <t>LP002009</t>
  </si>
  <si>
    <t>LP002016</t>
  </si>
  <si>
    <t>LP002017</t>
  </si>
  <si>
    <t>LP002018</t>
  </si>
  <si>
    <t>LP002027</t>
  </si>
  <si>
    <t>LP002028</t>
  </si>
  <si>
    <t>LP002042</t>
  </si>
  <si>
    <t>LP002045</t>
  </si>
  <si>
    <t>LP002046</t>
  </si>
  <si>
    <t>LP002047</t>
  </si>
  <si>
    <t>LP002056</t>
  </si>
  <si>
    <t>LP002057</t>
  </si>
  <si>
    <t>LP002059</t>
  </si>
  <si>
    <t>LP002062</t>
  </si>
  <si>
    <t>LP002064</t>
  </si>
  <si>
    <t>LP002069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</si>
  <si>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</si>
  <si>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</si>
  <si>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</si>
  <si>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</si>
  <si>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</si>
  <si>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</si>
  <si>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</si>
  <si>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</si>
  <si>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</si>
  <si>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LP002111</t>
  </si>
  <si>
    <t>LP002117</t>
  </si>
  <si>
    <t>LP002118</t>
  </si>
  <si>
    <t>LP002123</t>
  </si>
  <si>
    <t>LP002125</t>
  </si>
  <si>
    <t>LP002148</t>
  </si>
  <si>
    <t>LP002152</t>
  </si>
  <si>
    <t>LP002165</t>
  </si>
  <si>
    <t>LP002167</t>
  </si>
  <si>
    <t>LP002168</t>
  </si>
  <si>
    <t>LP002172</t>
  </si>
  <si>
    <t>LP002176</t>
  </si>
  <si>
    <t>LP002183</t>
  </si>
  <si>
    <t>LP002184</t>
  </si>
  <si>
    <t>LP002186</t>
  </si>
  <si>
    <t>LP002192</t>
  </si>
  <si>
    <t>LP002195</t>
  </si>
  <si>
    <t>LP002208</t>
  </si>
  <si>
    <t>LP002212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</si>
  <si>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</si>
  <si>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</si>
  <si>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</si>
  <si>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</si>
  <si>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</si>
  <si>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</si>
  <si>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</si>
  <si>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</si>
  <si>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</si>
  <si>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</si>
  <si>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LP002298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</si>
  <si>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</si>
  <si>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</si>
  <si>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</si>
  <si>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</si>
  <si>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</si>
  <si>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</si>
  <si>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</si>
  <si>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</si>
  <si>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</si>
  <si>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</si>
  <si>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</si>
  <si>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LP002346</t>
  </si>
  <si>
    <t>LP002354</t>
  </si>
  <si>
    <t>LP002355</t>
  </si>
  <si>
    <t>LP002358</t>
  </si>
  <si>
    <t>LP002360</t>
  </si>
  <si>
    <t>LP002375</t>
  </si>
  <si>
    <t>LP002376</t>
  </si>
  <si>
    <t>LP002383</t>
  </si>
  <si>
    <t>LP002385</t>
  </si>
  <si>
    <t>LP002389</t>
  </si>
  <si>
    <t>LP002394</t>
  </si>
  <si>
    <t>LP002397</t>
  </si>
  <si>
    <t>LP002399</t>
  </si>
  <si>
    <t>LP002400</t>
  </si>
  <si>
    <t>LP002402</t>
  </si>
  <si>
    <t>LP002412</t>
  </si>
  <si>
    <t>LP002415</t>
  </si>
  <si>
    <t>LP002417</t>
  </si>
  <si>
    <t>LP002420</t>
  </si>
  <si>
    <t>LP002425</t>
  </si>
  <si>
    <t>LP002433</t>
  </si>
  <si>
    <t>LP002440</t>
  </si>
  <si>
    <t>LP002441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</si>
  <si>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</si>
  <si>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</si>
  <si>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</si>
  <si>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</si>
  <si>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</si>
  <si>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</si>
  <si>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</si>
  <si>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</si>
  <si>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</si>
  <si>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</si>
  <si>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LP002542</t>
  </si>
  <si>
    <t>LP002550</t>
  </si>
  <si>
    <t>LP002551</t>
  </si>
  <si>
    <t>LP002553</t>
  </si>
  <si>
    <t>LP002554</t>
  </si>
  <si>
    <t>LP002561</t>
  </si>
  <si>
    <t>LP002566</t>
  </si>
  <si>
    <t>LP002568</t>
  </si>
  <si>
    <t>LP002570</t>
  </si>
  <si>
    <t>LP002572</t>
  </si>
  <si>
    <t>LP002581</t>
  </si>
  <si>
    <t>LP002584</t>
  </si>
  <si>
    <t>LP002592</t>
  </si>
  <si>
    <t>LP002593</t>
  </si>
  <si>
    <t>LP002599</t>
  </si>
  <si>
    <t>LP002604</t>
  </si>
  <si>
    <t>LP002605</t>
  </si>
  <si>
    <t>LP002609</t>
  </si>
  <si>
    <t>LP002610</t>
  </si>
  <si>
    <t>LP002612</t>
  </si>
  <si>
    <t>LP002614</t>
  </si>
  <si>
    <t>LP002630</t>
  </si>
  <si>
    <t>LP002635</t>
  </si>
  <si>
    <t>LP002639</t>
  </si>
  <si>
    <t>LP002644</t>
  </si>
  <si>
    <t>LP002651</t>
  </si>
  <si>
    <t>LP002654</t>
  </si>
  <si>
    <t>LP002657</t>
  </si>
  <si>
    <t>LP002711</t>
  </si>
  <si>
    <t>LP002712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</si>
  <si>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</si>
  <si>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</si>
  <si>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</si>
  <si>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</si>
  <si>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</si>
  <si>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</si>
  <si>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</si>
  <si>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</si>
  <si>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</si>
  <si>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</si>
  <si>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</si>
  <si>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</si>
  <si>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LP002775</t>
  </si>
  <si>
    <t>LP002781</t>
  </si>
  <si>
    <t>LP002782</t>
  </si>
  <si>
    <t>LP002786</t>
  </si>
  <si>
    <t>LP002790</t>
  </si>
  <si>
    <t>LP002791</t>
  </si>
  <si>
    <t>LP002793</t>
  </si>
  <si>
    <t>LP002802</t>
  </si>
  <si>
    <t>LP002803</t>
  </si>
  <si>
    <t>LP002805</t>
  </si>
  <si>
    <t>LP002806</t>
  </si>
  <si>
    <t>LP002816</t>
  </si>
  <si>
    <t>LP002823</t>
  </si>
  <si>
    <t>LP002825</t>
  </si>
  <si>
    <t>LP002826</t>
  </si>
  <si>
    <t>LP002843</t>
  </si>
  <si>
    <t>LP002849</t>
  </si>
  <si>
    <t>LP002850</t>
  </si>
  <si>
    <t>LP002853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</si>
  <si>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</si>
  <si>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</si>
  <si>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</si>
  <si>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</si>
  <si>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</si>
  <si>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</si>
  <si>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</si>
  <si>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</si>
  <si>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</si>
  <si>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</si>
  <si>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</si>
  <si>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</si>
  <si>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</si>
  <si>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</si>
  <si>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LP002901</t>
  </si>
  <si>
    <t>LP002907</t>
  </si>
  <si>
    <t>LP002920</t>
  </si>
  <si>
    <t>LP002921</t>
  </si>
  <si>
    <t>LP002932</t>
  </si>
  <si>
    <t>LP002935</t>
  </si>
  <si>
    <t>LP002952</t>
  </si>
  <si>
    <t>LP002954</t>
  </si>
  <si>
    <t>LP002962</t>
  </si>
  <si>
    <t>LP002965</t>
  </si>
  <si>
    <t>LP002969</t>
  </si>
  <si>
    <t>LP002971</t>
  </si>
  <si>
    <t>LP002975</t>
  </si>
  <si>
    <t>LP002980</t>
  </si>
  <si>
    <t>LP002986</t>
  </si>
  <si>
    <t>LP002989</t>
  </si>
  <si>
    <t>Row Labels</t>
  </si>
  <si>
    <t>Grand Total</t>
  </si>
  <si>
    <t>total_income</t>
  </si>
  <si>
    <t>monthly_income</t>
  </si>
  <si>
    <t>EMI</t>
  </si>
  <si>
    <t>risk_flag</t>
  </si>
  <si>
    <t>High Risk</t>
  </si>
  <si>
    <t>Low Risk</t>
  </si>
  <si>
    <t>EMI_income_ratio</t>
  </si>
  <si>
    <t>income_group</t>
  </si>
  <si>
    <t>loan_amount_group</t>
  </si>
  <si>
    <t>5k-10k</t>
  </si>
  <si>
    <t>20k-40k</t>
  </si>
  <si>
    <t>10k-20k</t>
  </si>
  <si>
    <t>&gt;60k</t>
  </si>
  <si>
    <t>&lt;5k</t>
  </si>
  <si>
    <t>100-200</t>
  </si>
  <si>
    <t>200-300</t>
  </si>
  <si>
    <t>&lt;100</t>
  </si>
  <si>
    <t>300-400</t>
  </si>
  <si>
    <t>&gt;500</t>
  </si>
  <si>
    <t>400-500</t>
  </si>
  <si>
    <t>total loans</t>
  </si>
  <si>
    <t>high_risk_flag</t>
  </si>
  <si>
    <t>high_risk_rate(%)</t>
  </si>
  <si>
    <t>high risk</t>
  </si>
  <si>
    <t>city_tier</t>
  </si>
  <si>
    <t>Tier 1</t>
  </si>
  <si>
    <t>Tier 2</t>
  </si>
  <si>
    <t>Tier 3</t>
  </si>
  <si>
    <t>default rate%</t>
  </si>
  <si>
    <t>default_rate(%)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</si>
</sst>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Kashyap" refreshedDate="46036.914461689812" createdVersion="8" refreshedVersion="8" minRefreshableVersion="3" recordCount="367" xr:uid="{C190A6A2-6404-4CB5-BE3E-D05977541969}">
  <cacheSource type="worksheet">
    <worksheetSource ref="A1:T368" sheet="loan_dataset"/>
  </cacheSource>
  <cacheFields count="20">
    <cacheField name="Loan_ID" numFmtId="0">
      <sharedItems count="367">
        <s v="LP001015"/>
        <s v="LP001031"/>
        <s v="LP001054"/>
        <s v="LP001099"/>
        <s v="LP001105"/>
        <s v="LP001149"/>
        <s v="LP001163"/>
        <s v="LP001176"/>
        <s v="LP001183"/>
        <s v="LP001187"/>
        <s v="LP001210"/>
        <s v="LP001211"/>
        <s v="LP001219"/>
        <s v="LP001220"/>
        <s v="LP001230"/>
        <s v="LP001232"/>
        <s v="LP001237"/>
        <s v="LP001270"/>
        <s v="LP001291"/>
        <s v="LP001298"/>
        <s v="LP001312"/>
        <s v="LP001321"/>
        <s v="LP001323"/>
        <s v="LP001335"/>
        <s v="LP001351"/>
        <s v="LP001359"/>
        <s v="LP001361"/>
        <s v="LP001375"/>
        <s v="LP001380"/>
        <s v="LP001386"/>
        <s v="LP001400"/>
        <s v="LP001407"/>
        <s v="LP001413"/>
        <s v="LP001415"/>
        <s v="LP001419"/>
        <s v="LP001446"/>
        <s v="LP001455"/>
        <s v="LP001471"/>
        <s v="LP001472"/>
        <s v="LP001475"/>
        <s v="LP001486"/>
        <s v="LP001490"/>
        <s v="LP001496"/>
        <s v="LP001499"/>
        <s v="LP001500"/>
        <s v="LP001501"/>
        <s v="LP001517"/>
        <s v="LP001527"/>
        <s v="LP001573"/>
        <s v="LP001591"/>
        <s v="LP001599"/>
        <s v="LP001601"/>
        <s v="LP001650"/>
        <s v="LP001652"/>
        <s v="LP001662"/>
        <s v="LP001663"/>
        <s v="LP001695"/>
        <s v="LP001787"/>
        <s v="LP001789"/>
        <s v="LP001817"/>
        <s v="LP001818"/>
        <s v="LP001822"/>
        <s v="LP001827"/>
        <s v="LP001842"/>
        <s v="LP001862"/>
        <s v="LP001867"/>
        <s v="LP001878"/>
        <s v="LP001881"/>
        <s v="LP001886"/>
        <s v="LP001909"/>
        <s v="LP001921"/>
        <s v="LP001943"/>
        <s v="LP001975"/>
        <s v="LP001979"/>
        <s v="LP001999"/>
        <s v="LP002007"/>
        <s v="LP002016"/>
        <s v="LP002018"/>
        <s v="LP002027"/>
        <s v="LP002042"/>
        <s v="LP002047"/>
        <s v="LP002056"/>
        <s v="LP002069"/>
        <s v="LP002083"/>
        <s v="LP002105"/>
        <s v="LP002117"/>
        <s v="LP002123"/>
        <s v="LP002125"/>
        <s v="LP002165"/>
        <s v="LP002168"/>
        <s v="LP002172"/>
        <s v="LP002176"/>
        <s v="LP002183"/>
        <s v="LP002184"/>
        <s v="LP002186"/>
        <s v="LP002195"/>
        <s v="LP002208"/>
        <s v="LP002240"/>
        <s v="LP002253"/>
        <s v="LP002256"/>
        <s v="LP002270"/>
        <s v="LP002279"/>
        <s v="LP002286"/>
        <s v="LP002298"/>
        <s v="LP002310"/>
        <s v="LP002316"/>
        <s v="LP002321"/>
        <s v="LP002339"/>
        <s v="LP002355"/>
        <s v="LP002358"/>
        <s v="LP002394"/>
        <s v="LP002397"/>
        <s v="LP002402"/>
        <s v="LP002412"/>
        <s v="LP002415"/>
        <s v="LP002417"/>
        <s v="LP002441"/>
        <s v="LP002442"/>
        <s v="LP002445"/>
        <s v="LP002450"/>
        <s v="LP002482"/>
        <s v="LP002495"/>
        <s v="LP002542"/>
        <s v="LP002550"/>
        <s v="LP002561"/>
        <s v="LP002566"/>
        <s v="LP002568"/>
        <s v="LP002572"/>
        <s v="LP002584"/>
        <s v="LP002599"/>
        <s v="LP002604"/>
        <s v="LP002614"/>
        <s v="LP002644"/>
        <s v="LP002651"/>
        <s v="LP002721"/>
        <s v="LP002744"/>
        <s v="LP002745"/>
        <s v="LP002746"/>
        <s v="LP002747"/>
        <s v="LP002759"/>
        <s v="LP002766"/>
        <s v="LP002781"/>
        <s v="LP002793"/>
        <s v="LP002802"/>
        <s v="LP002805"/>
        <s v="LP002806"/>
        <s v="LP002816"/>
        <s v="LP002823"/>
        <s v="LP002825"/>
        <s v="LP002826"/>
        <s v="LP002853"/>
        <s v="LP002857"/>
        <s v="LP002858"/>
        <s v="LP002860"/>
        <s v="LP002867"/>
        <s v="LP002876"/>
        <s v="LP002878"/>
        <s v="LP002879"/>
        <s v="LP002899"/>
        <s v="LP002907"/>
        <s v="LP002920"/>
        <s v="LP002921"/>
        <s v="LP002932"/>
        <s v="LP002935"/>
        <s v="LP002962"/>
        <s v="LP002971"/>
        <s v="LP002980"/>
        <s v="LP002986"/>
        <s v="LP002989"/>
        <s v="LP001153"/>
        <s v="LP001791"/>
        <s v="LP002294"/>
        <s v="LP002325"/>
        <s v="LP002485"/>
        <s v="LP002553"/>
        <s v="LP002570"/>
        <s v="LP002791"/>
        <s v="LP001059"/>
        <s v="LP001094"/>
        <s v="LP001108"/>
        <s v="LP001169"/>
        <s v="LP001208"/>
        <s v="LP001268"/>
        <s v="LP001452"/>
        <s v="LP001483"/>
        <s v="LP001655"/>
        <s v="LP001794"/>
        <s v="LP001797"/>
        <s v="LP002017"/>
        <s v="LP002045"/>
        <s v="LP002057"/>
        <s v="LP002059"/>
        <s v="LP002077"/>
        <s v="LP002192"/>
        <s v="LP002360"/>
        <s v="LP002433"/>
        <s v="LP002593"/>
        <s v="LP002654"/>
        <s v="LP002901"/>
        <s v="LP002965"/>
        <s v="LP001428"/>
        <s v="LP001022"/>
        <s v="LP001035"/>
        <s v="LP001051"/>
        <s v="LP001055"/>
        <s v="LP001056"/>
        <s v="LP001067"/>
        <s v="LP001078"/>
        <s v="LP001082"/>
        <s v="LP001083"/>
        <s v="LP001096"/>
        <s v="LP001107"/>
        <s v="LP001115"/>
        <s v="LP001121"/>
        <s v="LP001124"/>
        <s v="LP001128"/>
        <s v="LP001135"/>
        <s v="LP001174"/>
        <s v="LP001177"/>
        <s v="LP001185"/>
        <s v="LP001190"/>
        <s v="LP001203"/>
        <s v="LP001221"/>
        <s v="LP001226"/>
        <s v="LP001231"/>
        <s v="LP001242"/>
        <s v="LP001284"/>
        <s v="LP001287"/>
        <s v="LP001313"/>
        <s v="LP001317"/>
        <s v="LP001324"/>
        <s v="LP001332"/>
        <s v="LP001338"/>
        <s v="LP001347"/>
        <s v="LP001348"/>
        <s v="LP001352"/>
        <s v="LP001358"/>
        <s v="LP001366"/>
        <s v="LP001368"/>
        <s v="LP001420"/>
        <s v="LP001445"/>
        <s v="LP001450"/>
        <s v="LP001466"/>
        <s v="LP001534"/>
        <s v="LP001542"/>
        <s v="LP001547"/>
        <s v="LP001548"/>
        <s v="LP001558"/>
        <s v="LP001561"/>
        <s v="LP001563"/>
        <s v="LP001567"/>
        <s v="LP001568"/>
        <s v="LP001584"/>
        <s v="LP001587"/>
        <s v="LP001589"/>
        <s v="LP001607"/>
        <s v="LP001611"/>
        <s v="LP001613"/>
        <s v="LP001622"/>
        <s v="LP001627"/>
        <s v="LP001651"/>
        <s v="LP001660"/>
        <s v="LP001667"/>
        <s v="LP001703"/>
        <s v="LP001718"/>
        <s v="LP001728"/>
        <s v="LP001735"/>
        <s v="LP001737"/>
        <s v="LP001739"/>
        <s v="LP001742"/>
        <s v="LP001757"/>
        <s v="LP001769"/>
        <s v="LP001771"/>
        <s v="LP001785"/>
        <s v="LP001815"/>
        <s v="LP001831"/>
        <s v="LP001853"/>
        <s v="LP001855"/>
        <s v="LP001857"/>
        <s v="LP001906"/>
        <s v="LP001911"/>
        <s v="LP001923"/>
        <s v="LP001933"/>
        <s v="LP001950"/>
        <s v="LP001959"/>
        <s v="LP001961"/>
        <s v="LP001973"/>
        <s v="LP001995"/>
        <s v="LP002009"/>
        <s v="LP002028"/>
        <s v="LP002046"/>
        <s v="LP002062"/>
        <s v="LP002064"/>
        <s v="LP002070"/>
        <s v="LP002090"/>
        <s v="LP002096"/>
        <s v="LP002099"/>
        <s v="LP002102"/>
        <s v="LP002107"/>
        <s v="LP002111"/>
        <s v="LP002118"/>
        <s v="LP002148"/>
        <s v="LP002152"/>
        <s v="LP002167"/>
        <s v="LP002212"/>
        <s v="LP002245"/>
        <s v="LP002257"/>
        <s v="LP002264"/>
        <s v="LP002306"/>
        <s v="LP002311"/>
        <s v="LP002326"/>
        <s v="LP002329"/>
        <s v="LP002333"/>
        <s v="LP002344"/>
        <s v="LP002346"/>
        <s v="LP002354"/>
        <s v="LP002375"/>
        <s v="LP002376"/>
        <s v="LP002383"/>
        <s v="LP002385"/>
        <s v="LP002389"/>
        <s v="LP002399"/>
        <s v="LP002400"/>
        <s v="LP002420"/>
        <s v="LP002425"/>
        <s v="LP002440"/>
        <s v="LP002471"/>
        <s v="LP002476"/>
        <s v="LP002496"/>
        <s v="LP002523"/>
        <s v="LP002551"/>
        <s v="LP002554"/>
        <s v="LP002581"/>
        <s v="LP002592"/>
        <s v="LP002605"/>
        <s v="LP002609"/>
        <s v="LP002610"/>
        <s v="LP002612"/>
        <s v="LP002630"/>
        <s v="LP002635"/>
        <s v="LP002639"/>
        <s v="LP002657"/>
        <s v="LP002711"/>
        <s v="LP002712"/>
        <s v="LP002735"/>
        <s v="LP002754"/>
        <s v="LP002760"/>
        <s v="LP002769"/>
        <s v="LP002774"/>
        <s v="LP002775"/>
        <s v="LP002782"/>
        <s v="LP002786"/>
        <s v="LP002790"/>
        <s v="LP002803"/>
        <s v="LP002843"/>
        <s v="LP002849"/>
        <s v="LP002850"/>
        <s v="LP002856"/>
        <s v="LP002869"/>
        <s v="LP002870"/>
        <s v="LP002885"/>
        <s v="LP002890"/>
        <s v="LP002891"/>
        <s v="LP002952"/>
        <s v="LP002954"/>
        <s v="LP002969"/>
        <s v="LP002975"/>
      </sharedItems>
    </cacheField>
    <cacheField name="Gender" numFmtId="0">
      <sharedItems/>
    </cacheField>
    <cacheField name="Married" numFmtId="0">
      <sharedItems/>
    </cacheField>
    <cacheField name="Dependents" numFmtId="0">
      <sharedItems containsSemiMixedTypes="0" containsString="0" containsNumber="1" containsInteger="1" minValue="0" maxValue="3"/>
    </cacheField>
    <cacheField name="Education" numFmtId="0">
      <sharedItems/>
    </cacheField>
    <cacheField name="Self_Employed" numFmtId="0">
      <sharedItems/>
    </cacheField>
    <cacheField name="ApplicantIncome" numFmtId="0">
      <sharedItems containsSemiMixedTypes="0" containsString="0" containsNumber="1" containsInteger="1" minValue="0" maxValue="72529"/>
    </cacheField>
    <cacheField name="CoapplicantIncome" numFmtId="0">
      <sharedItems containsSemiMixedTypes="0" containsString="0" containsNumber="1" containsInteger="1" minValue="0" maxValue="24000"/>
    </cacheField>
    <cacheField name="LoanAmount" numFmtId="0">
      <sharedItems containsSemiMixedTypes="0" containsString="0" containsNumber="1" containsInteger="1" minValue="28" maxValue="550"/>
    </cacheField>
    <cacheField name="Loan_Amount_Term" numFmtId="0">
      <sharedItems containsSemiMixedTypes="0" containsString="0" containsNumber="1" containsInteger="1" minValue="6" maxValue="48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/>
    </cacheField>
    <cacheField name="total_income" numFmtId="0">
      <sharedItems containsSemiMixedTypes="0" containsString="0" containsNumber="1" containsInteger="1" minValue="1760" maxValue="72529"/>
    </cacheField>
    <cacheField name="monthly_income" numFmtId="0">
      <sharedItems containsSemiMixedTypes="0" containsString="0" containsNumber="1" minValue="146.66666666666666" maxValue="6044.083333333333"/>
    </cacheField>
    <cacheField name="EMI" numFmtId="4">
      <sharedItems containsSemiMixedTypes="0" containsString="0" containsNumber="1" minValue="269.11971925451678" maxValue="22677.143439624109"/>
    </cacheField>
    <cacheField name="EMI_income_ratio" numFmtId="4">
      <sharedItems containsSemiMixedTypes="0" containsString="0" containsNumber="1" minValue="0.17575165339070484" maxValue="36.805541929020656"/>
    </cacheField>
    <cacheField name="risk_flag" numFmtId="0">
      <sharedItems/>
    </cacheField>
    <cacheField name="income_group" numFmtId="0">
      <sharedItems count="5">
        <s v="5k-10k"/>
        <s v="20k-40k"/>
        <s v="10k-20k"/>
        <s v="&gt;60k"/>
        <s v="&lt;5k"/>
      </sharedItems>
    </cacheField>
    <cacheField name="loan_amount_group" numFmtId="0">
      <sharedItems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Kashyap" refreshedDate="46036.958769791665" createdVersion="8" refreshedVersion="8" minRefreshableVersion="3" recordCount="367" xr:uid="{E810D476-C3C9-43B4-9398-26FD0A8540BA}">
  <cacheSource type="worksheet">
    <worksheetSource ref="A1:U368" sheet="loan_dataset"/>
  </cacheSource>
  <cacheFields count="21">
    <cacheField name="Loan_ID" numFmtId="0">
      <sharedItems count="367">
        <s v="LP001015"/>
        <s v="LP001031"/>
        <s v="LP001054"/>
        <s v="LP001099"/>
        <s v="LP001105"/>
        <s v="LP001149"/>
        <s v="LP001163"/>
        <s v="LP001176"/>
        <s v="LP001183"/>
        <s v="LP001187"/>
        <s v="LP001210"/>
        <s v="LP001211"/>
        <s v="LP001219"/>
        <s v="LP001220"/>
        <s v="LP001230"/>
        <s v="LP001232"/>
        <s v="LP001237"/>
        <s v="LP001270"/>
        <s v="LP001291"/>
        <s v="LP001298"/>
        <s v="LP001312"/>
        <s v="LP001321"/>
        <s v="LP001323"/>
        <s v="LP001335"/>
        <s v="LP001351"/>
        <s v="LP001359"/>
        <s v="LP001361"/>
        <s v="LP001375"/>
        <s v="LP001380"/>
        <s v="LP001386"/>
        <s v="LP001400"/>
        <s v="LP001407"/>
        <s v="LP001413"/>
        <s v="LP001415"/>
        <s v="LP001419"/>
        <s v="LP001446"/>
        <s v="LP001455"/>
        <s v="LP001471"/>
        <s v="LP001472"/>
        <s v="LP001475"/>
        <s v="LP001486"/>
        <s v="LP001490"/>
        <s v="LP001496"/>
        <s v="LP001499"/>
        <s v="LP001500"/>
        <s v="LP001501"/>
        <s v="LP001517"/>
        <s v="LP001527"/>
        <s v="LP001573"/>
        <s v="LP001591"/>
        <s v="LP001599"/>
        <s v="LP001601"/>
        <s v="LP001650"/>
        <s v="LP001652"/>
        <s v="LP001662"/>
        <s v="LP001663"/>
        <s v="LP001695"/>
        <s v="LP001787"/>
        <s v="LP001789"/>
        <s v="LP001817"/>
        <s v="LP001818"/>
        <s v="LP001822"/>
        <s v="LP001827"/>
        <s v="LP001842"/>
        <s v="LP001862"/>
        <s v="LP001867"/>
        <s v="LP001878"/>
        <s v="LP001881"/>
        <s v="LP001886"/>
        <s v="LP001909"/>
        <s v="LP001921"/>
        <s v="LP001943"/>
        <s v="LP001975"/>
        <s v="LP001979"/>
        <s v="LP001999"/>
        <s v="LP002007"/>
        <s v="LP002016"/>
        <s v="LP002018"/>
        <s v="LP002027"/>
        <s v="LP002042"/>
        <s v="LP002047"/>
        <s v="LP002056"/>
        <s v="LP002069"/>
        <s v="LP002083"/>
        <s v="LP002105"/>
        <s v="LP002117"/>
        <s v="LP002123"/>
        <s v="LP002125"/>
        <s v="LP002165"/>
        <s v="LP002168"/>
        <s v="LP002172"/>
        <s v="LP002176"/>
        <s v="LP002183"/>
        <s v="LP002184"/>
        <s v="LP002186"/>
        <s v="LP002195"/>
        <s v="LP002208"/>
        <s v="LP002240"/>
        <s v="LP002253"/>
        <s v="LP002256"/>
        <s v="LP002270"/>
        <s v="LP002279"/>
        <s v="LP002286"/>
        <s v="LP002298"/>
        <s v="LP002310"/>
        <s v="LP002316"/>
        <s v="LP002321"/>
        <s v="LP002339"/>
        <s v="LP002355"/>
        <s v="LP002358"/>
        <s v="LP002394"/>
        <s v="LP002397"/>
        <s v="LP002402"/>
        <s v="LP002412"/>
        <s v="LP002415"/>
        <s v="LP002417"/>
        <s v="LP002441"/>
        <s v="LP002442"/>
        <s v="LP002445"/>
        <s v="LP002450"/>
        <s v="LP002482"/>
        <s v="LP002495"/>
        <s v="LP002542"/>
        <s v="LP002550"/>
        <s v="LP002561"/>
        <s v="LP002566"/>
        <s v="LP002568"/>
        <s v="LP002572"/>
        <s v="LP002584"/>
        <s v="LP002599"/>
        <s v="LP002604"/>
        <s v="LP002614"/>
        <s v="LP002644"/>
        <s v="LP002651"/>
        <s v="LP002721"/>
        <s v="LP002744"/>
        <s v="LP002745"/>
        <s v="LP002746"/>
        <s v="LP002747"/>
        <s v="LP002759"/>
        <s v="LP002766"/>
        <s v="LP002781"/>
        <s v="LP002793"/>
        <s v="LP002802"/>
        <s v="LP002805"/>
        <s v="LP002806"/>
        <s v="LP002816"/>
        <s v="LP002823"/>
        <s v="LP002825"/>
        <s v="LP002826"/>
        <s v="LP002853"/>
        <s v="LP002857"/>
        <s v="LP002858"/>
        <s v="LP002860"/>
        <s v="LP002867"/>
        <s v="LP002876"/>
        <s v="LP002878"/>
        <s v="LP002879"/>
        <s v="LP002899"/>
        <s v="LP002907"/>
        <s v="LP002920"/>
        <s v="LP002921"/>
        <s v="LP002932"/>
        <s v="LP002935"/>
        <s v="LP002962"/>
        <s v="LP002971"/>
        <s v="LP002980"/>
        <s v="LP002986"/>
        <s v="LP002989"/>
        <s v="LP001153"/>
        <s v="LP001791"/>
        <s v="LP002294"/>
        <s v="LP002325"/>
        <s v="LP002485"/>
        <s v="LP002553"/>
        <s v="LP002570"/>
        <s v="LP002791"/>
        <s v="LP001059"/>
        <s v="LP001094"/>
        <s v="LP001108"/>
        <s v="LP001169"/>
        <s v="LP001208"/>
        <s v="LP001268"/>
        <s v="LP001452"/>
        <s v="LP001483"/>
        <s v="LP001655"/>
        <s v="LP001794"/>
        <s v="LP001797"/>
        <s v="LP002017"/>
        <s v="LP002045"/>
        <s v="LP002057"/>
        <s v="LP002059"/>
        <s v="LP002077"/>
        <s v="LP002192"/>
        <s v="LP002360"/>
        <s v="LP002433"/>
        <s v="LP002593"/>
        <s v="LP002654"/>
        <s v="LP002901"/>
        <s v="LP002965"/>
        <s v="LP001428"/>
        <s v="LP001022"/>
        <s v="LP001035"/>
        <s v="LP001051"/>
        <s v="LP001055"/>
        <s v="LP001056"/>
        <s v="LP001067"/>
        <s v="LP001078"/>
        <s v="LP001082"/>
        <s v="LP001083"/>
        <s v="LP001096"/>
        <s v="LP001107"/>
        <s v="LP001115"/>
        <s v="LP001121"/>
        <s v="LP001124"/>
        <s v="LP001128"/>
        <s v="LP001135"/>
        <s v="LP001174"/>
        <s v="LP001177"/>
        <s v="LP001185"/>
        <s v="LP001190"/>
        <s v="LP001203"/>
        <s v="LP001221"/>
        <s v="LP001226"/>
        <s v="LP001231"/>
        <s v="LP001242"/>
        <s v="LP001284"/>
        <s v="LP001287"/>
        <s v="LP001313"/>
        <s v="LP001317"/>
        <s v="LP001324"/>
        <s v="LP001332"/>
        <s v="LP001338"/>
        <s v="LP001347"/>
        <s v="LP001348"/>
        <s v="LP001352"/>
        <s v="LP001358"/>
        <s v="LP001366"/>
        <s v="LP001368"/>
        <s v="LP001420"/>
        <s v="LP001445"/>
        <s v="LP001450"/>
        <s v="LP001466"/>
        <s v="LP001534"/>
        <s v="LP001542"/>
        <s v="LP001547"/>
        <s v="LP001548"/>
        <s v="LP001558"/>
        <s v="LP001561"/>
        <s v="LP001563"/>
        <s v="LP001567"/>
        <s v="LP001568"/>
        <s v="LP001584"/>
        <s v="LP001587"/>
        <s v="LP001589"/>
        <s v="LP001607"/>
        <s v="LP001611"/>
        <s v="LP001613"/>
        <s v="LP001622"/>
        <s v="LP001627"/>
        <s v="LP001651"/>
        <s v="LP001660"/>
        <s v="LP001667"/>
        <s v="LP001703"/>
        <s v="LP001718"/>
        <s v="LP001728"/>
        <s v="LP001735"/>
        <s v="LP001737"/>
        <s v="LP001739"/>
        <s v="LP001742"/>
        <s v="LP001757"/>
        <s v="LP001769"/>
        <s v="LP001771"/>
        <s v="LP001785"/>
        <s v="LP001815"/>
        <s v="LP001831"/>
        <s v="LP001853"/>
        <s v="LP001855"/>
        <s v="LP001857"/>
        <s v="LP001906"/>
        <s v="LP001911"/>
        <s v="LP001923"/>
        <s v="LP001933"/>
        <s v="LP001950"/>
        <s v="LP001959"/>
        <s v="LP001961"/>
        <s v="LP001973"/>
        <s v="LP001995"/>
        <s v="LP002009"/>
        <s v="LP002028"/>
        <s v="LP002046"/>
        <s v="LP002062"/>
        <s v="LP002064"/>
        <s v="LP002070"/>
        <s v="LP002090"/>
        <s v="LP002096"/>
        <s v="LP002099"/>
        <s v="LP002102"/>
        <s v="LP002107"/>
        <s v="LP002111"/>
        <s v="LP002118"/>
        <s v="LP002148"/>
        <s v="LP002152"/>
        <s v="LP002167"/>
        <s v="LP002212"/>
        <s v="LP002245"/>
        <s v="LP002257"/>
        <s v="LP002264"/>
        <s v="LP002306"/>
        <s v="LP002311"/>
        <s v="LP002326"/>
        <s v="LP002329"/>
        <s v="LP002333"/>
        <s v="LP002344"/>
        <s v="LP002346"/>
        <s v="LP002354"/>
        <s v="LP002375"/>
        <s v="LP002376"/>
        <s v="LP002383"/>
        <s v="LP002385"/>
        <s v="LP002389"/>
        <s v="LP002399"/>
        <s v="LP002400"/>
        <s v="LP002420"/>
        <s v="LP002425"/>
        <s v="LP002440"/>
        <s v="LP002471"/>
        <s v="LP002476"/>
        <s v="LP002496"/>
        <s v="LP002523"/>
        <s v="LP002551"/>
        <s v="LP002554"/>
        <s v="LP002581"/>
        <s v="LP002592"/>
        <s v="LP002605"/>
        <s v="LP002609"/>
        <s v="LP002610"/>
        <s v="LP002612"/>
        <s v="LP002630"/>
        <s v="LP002635"/>
        <s v="LP002639"/>
        <s v="LP002657"/>
        <s v="LP002711"/>
        <s v="LP002712"/>
        <s v="LP002735"/>
        <s v="LP002754"/>
        <s v="LP002760"/>
        <s v="LP002769"/>
        <s v="LP002774"/>
        <s v="LP002775"/>
        <s v="LP002782"/>
        <s v="LP002786"/>
        <s v="LP002790"/>
        <s v="LP002803"/>
        <s v="LP002843"/>
        <s v="LP002849"/>
        <s v="LP002850"/>
        <s v="LP002856"/>
        <s v="LP002869"/>
        <s v="LP002870"/>
        <s v="LP002885"/>
        <s v="LP002890"/>
        <s v="LP002891"/>
        <s v="LP002952"/>
        <s v="LP002954"/>
        <s v="LP002969"/>
        <s v="LP002975"/>
      </sharedItems>
    </cacheField>
    <cacheField name="Gender" numFmtId="0">
      <sharedItems/>
    </cacheField>
    <cacheField name="Married" numFmtId="0">
      <sharedItems/>
    </cacheField>
    <cacheField name="Dependents" numFmtId="0">
      <sharedItems containsSemiMixedTypes="0" containsString="0" containsNumber="1" containsInteger="1" minValue="0" maxValue="3"/>
    </cacheField>
    <cacheField name="Education" numFmtId="0">
      <sharedItems/>
    </cacheField>
    <cacheField name="Self_Employed" numFmtId="0">
      <sharedItems/>
    </cacheField>
    <cacheField name="ApplicantIncome" numFmtId="0">
      <sharedItems containsSemiMixedTypes="0" containsString="0" containsNumber="1" containsInteger="1" minValue="0" maxValue="72529"/>
    </cacheField>
    <cacheField name="CoapplicantIncome" numFmtId="0">
      <sharedItems containsSemiMixedTypes="0" containsString="0" containsNumber="1" containsInteger="1" minValue="0" maxValue="24000"/>
    </cacheField>
    <cacheField name="LoanAmount" numFmtId="0">
      <sharedItems containsSemiMixedTypes="0" containsString="0" containsNumber="1" containsInteger="1" minValue="28" maxValue="550"/>
    </cacheField>
    <cacheField name="Loan_Amount_Term" numFmtId="0">
      <sharedItems containsSemiMixedTypes="0" containsString="0" containsNumber="1" containsInteger="1" minValue="6" maxValue="48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/>
    </cacheField>
    <cacheField name="total_income" numFmtId="0">
      <sharedItems containsSemiMixedTypes="0" containsString="0" containsNumber="1" containsInteger="1" minValue="1760" maxValue="72529"/>
    </cacheField>
    <cacheField name="monthly_income" numFmtId="0">
      <sharedItems containsSemiMixedTypes="0" containsString="0" containsNumber="1" minValue="146.66666666666666" maxValue="6044.083333333333"/>
    </cacheField>
    <cacheField name="EMI" numFmtId="4">
      <sharedItems containsSemiMixedTypes="0" containsString="0" containsNumber="1" minValue="269.11971925451678" maxValue="22677.143439624109"/>
    </cacheField>
    <cacheField name="EMI_income_ratio" numFmtId="4">
      <sharedItems containsSemiMixedTypes="0" containsString="0" containsNumber="1" minValue="0.17575165339070484" maxValue="36.805541929020656"/>
    </cacheField>
    <cacheField name="risk_flag" numFmtId="0">
      <sharedItems/>
    </cacheField>
    <cacheField name="income_group" numFmtId="0">
      <sharedItems/>
    </cacheField>
    <cacheField name="loan_amount_group" numFmtId="0">
      <sharedItems count="6">
        <s v="100-200"/>
        <s v="200-300"/>
        <s v="&lt;100"/>
        <s v="300-400"/>
        <s v="&gt;500"/>
        <s v="400-500"/>
      </sharedItems>
    </cacheField>
    <cacheField name="high_risk_flag" numFmtId="0">
      <sharedItems containsSemiMixedTypes="0" containsString="0" containsNumber="1" containsInteger="1" minValue="0" maxValue="1"/>
    </cacheField>
    <cacheField name="city_tier" numFmtId="0">
      <sharedItems count="3">
        <s v="Tier 1"/>
        <s v="Tier 2"/>
        <s v="Tier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s v="Male"/>
    <s v="Yes"/>
    <n v="0"/>
    <s v="Graduate"/>
    <s v="No"/>
    <n v="5720"/>
    <n v="0"/>
    <n v="110"/>
    <n v="360"/>
    <n v="1"/>
    <s v="Urban"/>
    <n v="5720"/>
    <n v="476.66666666666669"/>
    <n v="845.80483194276701"/>
    <n v="1.7744157313484621"/>
    <s v="Low Risk"/>
    <x v="0"/>
    <s v="100-200"/>
    <n v="0"/>
  </r>
  <r>
    <x v="1"/>
    <s v="Male"/>
    <s v="Yes"/>
    <n v="2"/>
    <s v="Graduate"/>
    <s v="No"/>
    <n v="5000"/>
    <n v="1800"/>
    <n v="208"/>
    <n v="360"/>
    <n v="1"/>
    <s v="Urban"/>
    <n v="6800"/>
    <n v="566.66666666666663"/>
    <n v="1599.340045855414"/>
    <n v="2.8223647868036719"/>
    <s v="Low Risk"/>
    <x v="0"/>
    <s v="200-300"/>
    <n v="0"/>
  </r>
  <r>
    <x v="2"/>
    <s v="Male"/>
    <s v="Yes"/>
    <n v="0"/>
    <s v="Not Graduate"/>
    <s v="Yes"/>
    <n v="2165"/>
    <n v="3422"/>
    <n v="152"/>
    <n v="360"/>
    <n v="1"/>
    <s v="Urban"/>
    <n v="5587"/>
    <n v="465.58333333333331"/>
    <n v="1168.7484950481871"/>
    <n v="2.510288516301816"/>
    <s v="Low Risk"/>
    <x v="0"/>
    <s v="100-200"/>
    <n v="0"/>
  </r>
  <r>
    <x v="3"/>
    <s v="Male"/>
    <s v="No"/>
    <n v="1"/>
    <s v="Graduate"/>
    <s v="No"/>
    <n v="5667"/>
    <n v="0"/>
    <n v="131"/>
    <n v="360"/>
    <n v="1"/>
    <s v="Urban"/>
    <n v="5667"/>
    <n v="472.25"/>
    <n v="1007.2766634954771"/>
    <n v="2.1329309973435198"/>
    <s v="Low Risk"/>
    <x v="0"/>
    <s v="100-200"/>
    <n v="0"/>
  </r>
  <r>
    <x v="4"/>
    <s v="Male"/>
    <s v="Yes"/>
    <n v="2"/>
    <s v="Graduate"/>
    <s v="No"/>
    <n v="4583"/>
    <n v="2916"/>
    <n v="200"/>
    <n v="360"/>
    <n v="1"/>
    <s v="Urban"/>
    <n v="7499"/>
    <n v="624.91666666666663"/>
    <n v="1537.8269671686674"/>
    <n v="2.4608512609713307"/>
    <s v="Low Risk"/>
    <x v="0"/>
    <s v="200-300"/>
    <n v="0"/>
  </r>
  <r>
    <x v="5"/>
    <s v="Male"/>
    <s v="Yes"/>
    <n v="0"/>
    <s v="Graduate"/>
    <s v="No"/>
    <n v="5400"/>
    <n v="4380"/>
    <n v="290"/>
    <n v="360"/>
    <n v="1"/>
    <s v="Urban"/>
    <n v="9780"/>
    <n v="815"/>
    <n v="2229.8491023945676"/>
    <n v="2.7360111685822917"/>
    <s v="Low Risk"/>
    <x v="0"/>
    <s v="200-300"/>
    <n v="0"/>
  </r>
  <r>
    <x v="6"/>
    <s v="Male"/>
    <s v="Yes"/>
    <n v="2"/>
    <s v="Graduate"/>
    <s v="No"/>
    <n v="4363"/>
    <n v="1250"/>
    <n v="140"/>
    <n v="360"/>
    <n v="0"/>
    <s v="Urban"/>
    <n v="5613"/>
    <n v="467.75"/>
    <n v="1076.4788770180671"/>
    <n v="2.3013979198675942"/>
    <s v="High Risk"/>
    <x v="0"/>
    <s v="100-200"/>
    <n v="1"/>
  </r>
  <r>
    <x v="7"/>
    <s v="Male"/>
    <s v="No"/>
    <n v="0"/>
    <s v="Graduate"/>
    <s v="No"/>
    <n v="2942"/>
    <n v="2382"/>
    <n v="125"/>
    <n v="180"/>
    <n v="1"/>
    <s v="Urban"/>
    <n v="5324"/>
    <n v="443.66666666666669"/>
    <n v="1230.9244474069915"/>
    <n v="2.774435268385405"/>
    <s v="Low Risk"/>
    <x v="0"/>
    <s v="100-200"/>
    <n v="0"/>
  </r>
  <r>
    <x v="8"/>
    <s v="Male"/>
    <s v="Yes"/>
    <n v="2"/>
    <s v="Graduate"/>
    <s v="No"/>
    <n v="6250"/>
    <n v="820"/>
    <n v="192"/>
    <n v="360"/>
    <n v="1"/>
    <s v="Urban"/>
    <n v="7070"/>
    <n v="589.16666666666663"/>
    <n v="1476.3138884819205"/>
    <n v="2.5057661473526234"/>
    <s v="Low Risk"/>
    <x v="0"/>
    <s v="100-200"/>
    <n v="0"/>
  </r>
  <r>
    <x v="9"/>
    <s v="Male"/>
    <s v="Yes"/>
    <n v="0"/>
    <s v="Graduate"/>
    <s v="No"/>
    <n v="2783"/>
    <n v="2708"/>
    <n v="158"/>
    <n v="360"/>
    <n v="1"/>
    <s v="Urban"/>
    <n v="5491"/>
    <n v="457.58333333333331"/>
    <n v="1214.8833040632471"/>
    <n v="2.6549990254523705"/>
    <s v="Low Risk"/>
    <x v="0"/>
    <s v="100-200"/>
    <n v="0"/>
  </r>
  <r>
    <x v="10"/>
    <s v="Male"/>
    <s v="Yes"/>
    <n v="0"/>
    <s v="Graduate"/>
    <s v="Yes"/>
    <n v="2267"/>
    <n v="2792"/>
    <n v="90"/>
    <n v="360"/>
    <n v="1"/>
    <s v="Urban"/>
    <n v="5059"/>
    <n v="421.58333333333331"/>
    <n v="692.02213522590023"/>
    <n v="1.6414836178515129"/>
    <s v="Low Risk"/>
    <x v="0"/>
    <s v="&lt;100"/>
    <n v="0"/>
  </r>
  <r>
    <x v="11"/>
    <s v="Male"/>
    <s v="No"/>
    <n v="0"/>
    <s v="Graduate"/>
    <s v="Yes"/>
    <n v="5833"/>
    <n v="0"/>
    <n v="116"/>
    <n v="360"/>
    <n v="1"/>
    <s v="Urban"/>
    <n v="5833"/>
    <n v="486.08333333333331"/>
    <n v="891.93964095782701"/>
    <n v="1.8349521158055759"/>
    <s v="Low Risk"/>
    <x v="0"/>
    <s v="100-200"/>
    <n v="0"/>
  </r>
  <r>
    <x v="12"/>
    <s v="Male"/>
    <s v="No"/>
    <n v="0"/>
    <s v="Graduate"/>
    <s v="No"/>
    <n v="3643"/>
    <n v="1963"/>
    <n v="138"/>
    <n v="360"/>
    <n v="1"/>
    <s v="Urban"/>
    <n v="5606"/>
    <n v="467.16666666666669"/>
    <n v="1061.1006073463805"/>
    <n v="2.2713534227892551"/>
    <s v="Low Risk"/>
    <x v="0"/>
    <s v="100-200"/>
    <n v="0"/>
  </r>
  <r>
    <x v="13"/>
    <s v="Male"/>
    <s v="Yes"/>
    <n v="0"/>
    <s v="Graduate"/>
    <s v="No"/>
    <n v="5629"/>
    <n v="818"/>
    <n v="100"/>
    <n v="360"/>
    <n v="1"/>
    <s v="Urban"/>
    <n v="6447"/>
    <n v="537.25"/>
    <n v="768.91348358433368"/>
    <n v="1.4312023891751209"/>
    <s v="Low Risk"/>
    <x v="0"/>
    <s v="100-200"/>
    <n v="0"/>
  </r>
  <r>
    <x v="14"/>
    <s v="Male"/>
    <s v="No"/>
    <n v="0"/>
    <s v="Graduate"/>
    <s v="No"/>
    <n v="6500"/>
    <n v="2600"/>
    <n v="200"/>
    <n v="360"/>
    <n v="1"/>
    <s v="Semiurban"/>
    <n v="9100"/>
    <n v="758.33333333333337"/>
    <n v="1537.8269671686674"/>
    <n v="2.0279036929696712"/>
    <s v="Low Risk"/>
    <x v="0"/>
    <s v="200-300"/>
    <n v="0"/>
  </r>
  <r>
    <x v="15"/>
    <s v="Male"/>
    <s v="Yes"/>
    <n v="0"/>
    <s v="Graduate"/>
    <s v="No"/>
    <n v="4260"/>
    <n v="3900"/>
    <n v="185"/>
    <n v="360"/>
    <n v="0"/>
    <s v="Urban"/>
    <n v="8160"/>
    <n v="680"/>
    <n v="1422.4899446310171"/>
    <n v="2.0918969773985547"/>
    <s v="High Risk"/>
    <x v="0"/>
    <s v="100-200"/>
    <n v="1"/>
  </r>
  <r>
    <x v="16"/>
    <s v="Male"/>
    <s v="Yes"/>
    <n v="0"/>
    <s v="Not Graduate"/>
    <s v="No"/>
    <n v="4163"/>
    <n v="1475"/>
    <n v="162"/>
    <n v="360"/>
    <n v="1"/>
    <s v="Urban"/>
    <n v="5638"/>
    <n v="469.83333333333331"/>
    <n v="1245.6398434066205"/>
    <n v="2.6512376943737932"/>
    <s v="Low Risk"/>
    <x v="0"/>
    <s v="100-200"/>
    <n v="0"/>
  </r>
  <r>
    <x v="17"/>
    <s v="Male"/>
    <s v="Yes"/>
    <n v="3"/>
    <s v="Not Graduate"/>
    <s v="Yes"/>
    <n v="8000"/>
    <n v="250"/>
    <n v="187"/>
    <n v="360"/>
    <n v="1"/>
    <s v="Semiurban"/>
    <n v="8250"/>
    <n v="687.5"/>
    <n v="1437.8682143027038"/>
    <n v="2.0914446753493872"/>
    <s v="Low Risk"/>
    <x v="0"/>
    <s v="100-200"/>
    <n v="0"/>
  </r>
  <r>
    <x v="18"/>
    <s v="Male"/>
    <s v="Yes"/>
    <n v="1"/>
    <s v="Graduate"/>
    <s v="No"/>
    <n v="3500"/>
    <n v="3077"/>
    <n v="160"/>
    <n v="360"/>
    <n v="1"/>
    <s v="Semiurban"/>
    <n v="6577"/>
    <n v="548.08333333333337"/>
    <n v="1230.2615737349338"/>
    <n v="2.2446615303054895"/>
    <s v="Low Risk"/>
    <x v="0"/>
    <s v="100-200"/>
    <n v="0"/>
  </r>
  <r>
    <x v="19"/>
    <s v="Male"/>
    <s v="Yes"/>
    <n v="2"/>
    <s v="Graduate"/>
    <s v="No"/>
    <n v="4116"/>
    <n v="1000"/>
    <n v="30"/>
    <n v="180"/>
    <n v="1"/>
    <s v="Urban"/>
    <n v="5116"/>
    <n v="426.33333333333331"/>
    <n v="295.42186737767798"/>
    <n v="0.69293635819627364"/>
    <s v="Low Risk"/>
    <x v="0"/>
    <s v="&lt;100"/>
    <n v="0"/>
  </r>
  <r>
    <x v="20"/>
    <s v="Male"/>
    <s v="Yes"/>
    <n v="0"/>
    <s v="Not Graduate"/>
    <s v="Yes"/>
    <n v="5293"/>
    <n v="0"/>
    <n v="92"/>
    <n v="360"/>
    <n v="1"/>
    <s v="Urban"/>
    <n v="5293"/>
    <n v="441.08333333333331"/>
    <n v="707.4004048975869"/>
    <n v="1.6037794934387009"/>
    <s v="Low Risk"/>
    <x v="0"/>
    <s v="&lt;100"/>
    <n v="0"/>
  </r>
  <r>
    <x v="21"/>
    <s v="Male"/>
    <s v="Yes"/>
    <n v="2"/>
    <s v="Graduate"/>
    <s v="No"/>
    <n v="3613"/>
    <n v="3539"/>
    <n v="134"/>
    <n v="180"/>
    <n v="1"/>
    <s v="Semiurban"/>
    <n v="7152"/>
    <n v="596"/>
    <n v="1319.551007620295"/>
    <n v="2.2140117577521727"/>
    <s v="Low Risk"/>
    <x v="0"/>
    <s v="100-200"/>
    <n v="0"/>
  </r>
  <r>
    <x v="22"/>
    <s v="Female"/>
    <s v="Yes"/>
    <n v="2"/>
    <s v="Graduate"/>
    <s v="No"/>
    <n v="2779"/>
    <n v="3664"/>
    <n v="176"/>
    <n v="360"/>
    <n v="0"/>
    <s v="Semiurban"/>
    <n v="6443"/>
    <n v="536.91666666666663"/>
    <n v="1353.2877311084274"/>
    <n v="2.5204800206892952"/>
    <s v="High Risk"/>
    <x v="0"/>
    <s v="100-200"/>
    <n v="1"/>
  </r>
  <r>
    <x v="23"/>
    <s v="Male"/>
    <s v="Yes"/>
    <n v="0"/>
    <s v="Graduate"/>
    <s v="Yes"/>
    <n v="7016"/>
    <n v="292"/>
    <n v="125"/>
    <n v="360"/>
    <n v="1"/>
    <s v="Urban"/>
    <n v="7308"/>
    <n v="609"/>
    <n v="961.14185448041712"/>
    <n v="1.5782296461090592"/>
    <s v="Low Risk"/>
    <x v="0"/>
    <s v="100-200"/>
    <n v="0"/>
  </r>
  <r>
    <x v="24"/>
    <s v="Male"/>
    <s v="Yes"/>
    <n v="0"/>
    <s v="Graduate"/>
    <s v="No"/>
    <n v="2917"/>
    <n v="3583"/>
    <n v="138"/>
    <n v="360"/>
    <n v="1"/>
    <s v="Semiurban"/>
    <n v="6500"/>
    <n v="541.66666666666663"/>
    <n v="1061.1006073463805"/>
    <n v="1.9589549674087026"/>
    <s v="Low Risk"/>
    <x v="0"/>
    <s v="100-200"/>
    <n v="0"/>
  </r>
  <r>
    <x v="25"/>
    <s v="Male"/>
    <s v="Yes"/>
    <n v="0"/>
    <s v="Graduate"/>
    <s v="No"/>
    <n v="7666"/>
    <n v="0"/>
    <n v="187"/>
    <n v="360"/>
    <n v="1"/>
    <s v="Semiurban"/>
    <n v="7666"/>
    <n v="638.83333333333337"/>
    <n v="1437.8682143027038"/>
    <n v="2.2507720547394268"/>
    <s v="Low Risk"/>
    <x v="0"/>
    <s v="100-200"/>
    <n v="0"/>
  </r>
  <r>
    <x v="26"/>
    <s v="Male"/>
    <s v="Yes"/>
    <n v="0"/>
    <s v="Graduate"/>
    <s v="No"/>
    <n v="2458"/>
    <n v="5105"/>
    <n v="188"/>
    <n v="360"/>
    <n v="0"/>
    <s v="Rural"/>
    <n v="7563"/>
    <n v="630.25"/>
    <n v="1445.5573491385474"/>
    <n v="2.2936253060508487"/>
    <s v="High Risk"/>
    <x v="0"/>
    <s v="100-200"/>
    <n v="1"/>
  </r>
  <r>
    <x v="27"/>
    <s v="Male"/>
    <s v="Yes"/>
    <n v="1"/>
    <s v="Graduate"/>
    <s v="No"/>
    <n v="4083"/>
    <n v="1775"/>
    <n v="139"/>
    <n v="60"/>
    <n v="1"/>
    <s v="Urban"/>
    <n v="5858"/>
    <n v="488.16666666666669"/>
    <n v="2851.7978544601237"/>
    <n v="5.8418528940801444"/>
    <s v="Low Risk"/>
    <x v="0"/>
    <s v="100-200"/>
    <n v="0"/>
  </r>
  <r>
    <x v="28"/>
    <s v="Male"/>
    <s v="Yes"/>
    <n v="0"/>
    <s v="Graduate"/>
    <s v="Yes"/>
    <n v="3900"/>
    <n v="2094"/>
    <n v="232"/>
    <n v="360"/>
    <n v="1"/>
    <s v="Rural"/>
    <n v="5994"/>
    <n v="499.5"/>
    <n v="1783.879281915654"/>
    <n v="3.5713298937250331"/>
    <s v="Low Risk"/>
    <x v="0"/>
    <s v="200-300"/>
    <n v="0"/>
  </r>
  <r>
    <x v="29"/>
    <s v="Male"/>
    <s v="Yes"/>
    <n v="0"/>
    <s v="Not Graduate"/>
    <s v="No"/>
    <n v="4750"/>
    <n v="3583"/>
    <n v="144"/>
    <n v="360"/>
    <n v="1"/>
    <s v="Semiurban"/>
    <n v="8333"/>
    <n v="694.41666666666663"/>
    <n v="1107.2354163614405"/>
    <n v="1.5944827788716291"/>
    <s v="Low Risk"/>
    <x v="0"/>
    <s v="100-200"/>
    <n v="0"/>
  </r>
  <r>
    <x v="30"/>
    <s v="Male"/>
    <s v="No"/>
    <n v="0"/>
    <s v="Graduate"/>
    <s v="No"/>
    <n v="3583"/>
    <n v="3435"/>
    <n v="155"/>
    <n v="360"/>
    <n v="1"/>
    <s v="Urban"/>
    <n v="7018"/>
    <n v="584.83333333333337"/>
    <n v="1191.8158995557171"/>
    <n v="2.037872726513053"/>
    <s v="Low Risk"/>
    <x v="0"/>
    <s v="100-200"/>
    <n v="0"/>
  </r>
  <r>
    <x v="31"/>
    <s v="Male"/>
    <s v="Yes"/>
    <n v="0"/>
    <s v="Graduate"/>
    <s v="No"/>
    <n v="3189"/>
    <n v="2367"/>
    <n v="186"/>
    <n v="360"/>
    <n v="1"/>
    <s v="Urban"/>
    <n v="5556"/>
    <n v="463"/>
    <n v="1430.1790794668605"/>
    <n v="3.0889396964727007"/>
    <s v="Low Risk"/>
    <x v="0"/>
    <s v="100-200"/>
    <n v="0"/>
  </r>
  <r>
    <x v="32"/>
    <s v="Male"/>
    <s v="No"/>
    <n v="0"/>
    <s v="Graduate"/>
    <s v="Yes"/>
    <n v="6356"/>
    <n v="0"/>
    <n v="50"/>
    <n v="360"/>
    <n v="1"/>
    <s v="Rural"/>
    <n v="6356"/>
    <n v="529.66666666666663"/>
    <n v="384.45674179216684"/>
    <n v="0.72584658614002551"/>
    <s v="Low Risk"/>
    <x v="0"/>
    <s v="&lt;100"/>
    <n v="0"/>
  </r>
  <r>
    <x v="33"/>
    <s v="Male"/>
    <s v="Yes"/>
    <n v="1"/>
    <s v="Graduate"/>
    <s v="No"/>
    <n v="3413"/>
    <n v="4053"/>
    <n v="125"/>
    <n v="360"/>
    <n v="1"/>
    <s v="Semiurban"/>
    <n v="7466"/>
    <n v="622.16666666666663"/>
    <n v="961.14185448041712"/>
    <n v="1.5448301973968666"/>
    <s v="Low Risk"/>
    <x v="0"/>
    <s v="100-200"/>
    <n v="0"/>
  </r>
  <r>
    <x v="34"/>
    <s v="Female"/>
    <s v="Yes"/>
    <n v="0"/>
    <s v="Graduate"/>
    <s v="No"/>
    <n v="7950"/>
    <n v="0"/>
    <n v="185"/>
    <n v="360"/>
    <n v="1"/>
    <s v="Urban"/>
    <n v="7950"/>
    <n v="662.5"/>
    <n v="1422.4899446310171"/>
    <n v="2.1471546334053087"/>
    <s v="Low Risk"/>
    <x v="0"/>
    <s v="100-200"/>
    <n v="0"/>
  </r>
  <r>
    <x v="35"/>
    <s v="Male"/>
    <s v="Yes"/>
    <n v="0"/>
    <s v="Graduate"/>
    <s v="No"/>
    <n v="8449"/>
    <n v="0"/>
    <n v="257"/>
    <n v="360"/>
    <n v="1"/>
    <s v="Rural"/>
    <n v="8449"/>
    <n v="704.08333333333337"/>
    <n v="1976.1076528117376"/>
    <n v="2.8066388724986213"/>
    <s v="Low Risk"/>
    <x v="0"/>
    <s v="200-300"/>
    <n v="0"/>
  </r>
  <r>
    <x v="36"/>
    <s v="Male"/>
    <s v="Yes"/>
    <n v="0"/>
    <s v="Graduate"/>
    <s v="No"/>
    <n v="3571"/>
    <n v="1917"/>
    <n v="135"/>
    <n v="360"/>
    <n v="1"/>
    <s v="Urban"/>
    <n v="5488"/>
    <n v="457.33333333333331"/>
    <n v="1038.0332028388502"/>
    <n v="2.2697519012511305"/>
    <s v="Low Risk"/>
    <x v="0"/>
    <s v="100-200"/>
    <n v="0"/>
  </r>
  <r>
    <x v="37"/>
    <s v="Male"/>
    <s v="No"/>
    <n v="2"/>
    <s v="Not Graduate"/>
    <s v="No"/>
    <n v="3235"/>
    <n v="2015"/>
    <n v="77"/>
    <n v="360"/>
    <n v="1"/>
    <s v="Semiurban"/>
    <n v="5250"/>
    <n v="437.5"/>
    <n v="592.0633823599369"/>
    <n v="1.3532877311084273"/>
    <s v="Low Risk"/>
    <x v="0"/>
    <s v="&lt;100"/>
    <n v="0"/>
  </r>
  <r>
    <x v="38"/>
    <s v="Female"/>
    <s v="No"/>
    <n v="0"/>
    <s v="Graduate"/>
    <s v="No"/>
    <n v="5058"/>
    <n v="0"/>
    <n v="200"/>
    <n v="360"/>
    <n v="1"/>
    <s v="Rural"/>
    <n v="5058"/>
    <n v="421.5"/>
    <n v="1537.8269671686674"/>
    <n v="3.6484625555603021"/>
    <s v="Low Risk"/>
    <x v="0"/>
    <s v="200-300"/>
    <n v="0"/>
  </r>
  <r>
    <x v="39"/>
    <s v="Male"/>
    <s v="Yes"/>
    <n v="0"/>
    <s v="Graduate"/>
    <s v="Yes"/>
    <n v="3188"/>
    <n v="2286"/>
    <n v="130"/>
    <n v="360"/>
    <n v="0"/>
    <s v="Rural"/>
    <n v="5474"/>
    <n v="456.16666666666669"/>
    <n v="999.58752865963379"/>
    <n v="2.191277008387944"/>
    <s v="High Risk"/>
    <x v="0"/>
    <s v="100-200"/>
    <n v="1"/>
  </r>
  <r>
    <x v="40"/>
    <s v="Male"/>
    <s v="Yes"/>
    <n v="1"/>
    <s v="Graduate"/>
    <s v="No"/>
    <n v="4364"/>
    <n v="2500"/>
    <n v="185"/>
    <n v="360"/>
    <n v="1"/>
    <s v="Semiurban"/>
    <n v="6864"/>
    <n v="572"/>
    <n v="1422.4899446310171"/>
    <n v="2.4868705325717082"/>
    <s v="Low Risk"/>
    <x v="0"/>
    <s v="100-200"/>
    <n v="0"/>
  </r>
  <r>
    <x v="41"/>
    <s v="Male"/>
    <s v="Yes"/>
    <n v="2"/>
    <s v="Not Graduate"/>
    <s v="No"/>
    <n v="4766"/>
    <n v="1646"/>
    <n v="100"/>
    <n v="360"/>
    <n v="1"/>
    <s v="Semiurban"/>
    <n v="6412"/>
    <n v="534.33333333333337"/>
    <n v="768.91348358433368"/>
    <n v="1.4390146292907056"/>
    <s v="Low Risk"/>
    <x v="0"/>
    <s v="100-200"/>
    <n v="0"/>
  </r>
  <r>
    <x v="42"/>
    <s v="Male"/>
    <s v="Yes"/>
    <n v="1"/>
    <s v="Graduate"/>
    <s v="No"/>
    <n v="4609"/>
    <n v="2333"/>
    <n v="123"/>
    <n v="360"/>
    <n v="0"/>
    <s v="Semiurban"/>
    <n v="6942"/>
    <n v="578.5"/>
    <n v="945.76358480873034"/>
    <n v="1.6348549434895943"/>
    <s v="High Risk"/>
    <x v="0"/>
    <s v="100-200"/>
    <n v="1"/>
  </r>
  <r>
    <x v="43"/>
    <s v="Female"/>
    <s v="Yes"/>
    <n v="3"/>
    <s v="Graduate"/>
    <s v="No"/>
    <n v="6260"/>
    <n v="0"/>
    <n v="110"/>
    <n v="360"/>
    <n v="1"/>
    <s v="Semiurban"/>
    <n v="6260"/>
    <n v="521.66666666666663"/>
    <n v="845.80483194276701"/>
    <n v="1.6213511155452405"/>
    <s v="Low Risk"/>
    <x v="0"/>
    <s v="100-200"/>
    <n v="0"/>
  </r>
  <r>
    <x v="44"/>
    <s v="Male"/>
    <s v="Yes"/>
    <n v="1"/>
    <s v="Graduate"/>
    <s v="No"/>
    <n v="3333"/>
    <n v="4200"/>
    <n v="256"/>
    <n v="360"/>
    <n v="1"/>
    <s v="Urban"/>
    <n v="7533"/>
    <n v="627.75"/>
    <n v="1968.418517975894"/>
    <n v="3.1356726690177523"/>
    <s v="Low Risk"/>
    <x v="0"/>
    <s v="200-300"/>
    <n v="0"/>
  </r>
  <r>
    <x v="45"/>
    <s v="Male"/>
    <s v="Yes"/>
    <n v="0"/>
    <s v="Graduate"/>
    <s v="No"/>
    <n v="3500"/>
    <n v="3250"/>
    <n v="140"/>
    <n v="360"/>
    <n v="1"/>
    <s v="Semiurban"/>
    <n v="6750"/>
    <n v="562.5"/>
    <n v="1076.4788770180671"/>
    <n v="1.913740225809897"/>
    <s v="Low Risk"/>
    <x v="0"/>
    <s v="100-200"/>
    <n v="0"/>
  </r>
  <r>
    <x v="46"/>
    <s v="Male"/>
    <s v="Yes"/>
    <n v="3"/>
    <s v="Graduate"/>
    <s v="No"/>
    <n v="9719"/>
    <n v="0"/>
    <n v="61"/>
    <n v="360"/>
    <n v="1"/>
    <s v="Urban"/>
    <n v="9719"/>
    <n v="809.91666666666663"/>
    <n v="469.0372249864435"/>
    <n v="0.57911788248146134"/>
    <s v="Low Risk"/>
    <x v="0"/>
    <s v="&lt;100"/>
    <n v="0"/>
  </r>
  <r>
    <x v="47"/>
    <s v="Male"/>
    <s v="Yes"/>
    <n v="3"/>
    <s v="Graduate"/>
    <s v="No"/>
    <n v="6835"/>
    <n v="0"/>
    <n v="188"/>
    <n v="360"/>
    <n v="0"/>
    <s v="Semiurban"/>
    <n v="6835"/>
    <n v="569.58333333333337"/>
    <n v="1445.5573491385474"/>
    <n v="2.5379207300164692"/>
    <s v="High Risk"/>
    <x v="0"/>
    <s v="100-200"/>
    <n v="1"/>
  </r>
  <r>
    <x v="48"/>
    <s v="Male"/>
    <s v="Yes"/>
    <n v="0"/>
    <s v="Not Graduate"/>
    <s v="No"/>
    <n v="4523"/>
    <n v="1350"/>
    <n v="165"/>
    <n v="360"/>
    <n v="1"/>
    <s v="Urban"/>
    <n v="5873"/>
    <n v="489.41666666666669"/>
    <n v="1268.7072479141505"/>
    <n v="2.5922845181286913"/>
    <s v="Low Risk"/>
    <x v="0"/>
    <s v="100-200"/>
    <n v="0"/>
  </r>
  <r>
    <x v="49"/>
    <s v="Female"/>
    <s v="Yes"/>
    <n v="2"/>
    <s v="Graduate"/>
    <s v="No"/>
    <n v="2922"/>
    <n v="3396"/>
    <n v="122"/>
    <n v="360"/>
    <n v="1"/>
    <s v="Semiurban"/>
    <n v="6318"/>
    <n v="526.5"/>
    <n v="938.07444997288701"/>
    <n v="1.7817178536996905"/>
    <s v="Low Risk"/>
    <x v="0"/>
    <s v="100-200"/>
    <n v="0"/>
  </r>
  <r>
    <x v="50"/>
    <s v="Male"/>
    <s v="Yes"/>
    <n v="0"/>
    <s v="Graduate"/>
    <s v="No"/>
    <n v="4167"/>
    <n v="4754"/>
    <n v="160"/>
    <n v="360"/>
    <n v="1"/>
    <s v="Rural"/>
    <n v="8921"/>
    <n v="743.41666666666663"/>
    <n v="1230.2615737349338"/>
    <n v="1.654874889005628"/>
    <s v="Low Risk"/>
    <x v="0"/>
    <s v="100-200"/>
    <n v="0"/>
  </r>
  <r>
    <x v="51"/>
    <s v="Male"/>
    <s v="No"/>
    <n v="3"/>
    <s v="Graduate"/>
    <s v="No"/>
    <n v="4243"/>
    <n v="4123"/>
    <n v="157"/>
    <n v="360"/>
    <n v="0"/>
    <s v="Semiurban"/>
    <n v="8366"/>
    <n v="697.16666666666663"/>
    <n v="1207.1941692274038"/>
    <n v="1.7315718420665607"/>
    <s v="High Risk"/>
    <x v="0"/>
    <s v="100-200"/>
    <n v="1"/>
  </r>
  <r>
    <x v="52"/>
    <s v="Male"/>
    <s v="Yes"/>
    <n v="0"/>
    <s v="Graduate"/>
    <s v="No"/>
    <n v="2333"/>
    <n v="3803"/>
    <n v="146"/>
    <n v="360"/>
    <n v="1"/>
    <s v="Rural"/>
    <n v="6136"/>
    <n v="511.33333333333331"/>
    <n v="1122.6136860331271"/>
    <n v="2.1954635320074196"/>
    <s v="Low Risk"/>
    <x v="0"/>
    <s v="100-200"/>
    <n v="0"/>
  </r>
  <r>
    <x v="53"/>
    <s v="Male"/>
    <s v="No"/>
    <n v="0"/>
    <s v="Graduate"/>
    <s v="No"/>
    <n v="2500"/>
    <n v="6414"/>
    <n v="187"/>
    <n v="360"/>
    <n v="0"/>
    <s v="Rural"/>
    <n v="8914"/>
    <n v="742.83333333333337"/>
    <n v="1437.8682143027038"/>
    <n v="1.9356538671339965"/>
    <s v="High Risk"/>
    <x v="0"/>
    <s v="100-200"/>
    <n v="1"/>
  </r>
  <r>
    <x v="54"/>
    <s v="Male"/>
    <s v="No"/>
    <n v="0"/>
    <s v="Graduate"/>
    <s v="No"/>
    <n v="6500"/>
    <n v="0"/>
    <n v="71"/>
    <n v="360"/>
    <n v="0"/>
    <s v="Urban"/>
    <n v="6500"/>
    <n v="541.66666666666663"/>
    <n v="545.9285733448769"/>
    <n v="1.0078681354059267"/>
    <s v="High Risk"/>
    <x v="0"/>
    <s v="&lt;100"/>
    <n v="1"/>
  </r>
  <r>
    <x v="55"/>
    <s v="Male"/>
    <s v="Yes"/>
    <n v="2"/>
    <s v="Graduate"/>
    <s v="No"/>
    <n v="7500"/>
    <n v="0"/>
    <n v="225"/>
    <n v="360"/>
    <n v="1"/>
    <s v="Urban"/>
    <n v="7500"/>
    <n v="625"/>
    <n v="1730.0553380647507"/>
    <n v="2.7680885409036011"/>
    <s v="Low Risk"/>
    <x v="0"/>
    <s v="200-300"/>
    <n v="0"/>
  </r>
  <r>
    <x v="56"/>
    <s v="Male"/>
    <s v="Yes"/>
    <n v="1"/>
    <s v="Not Graduate"/>
    <s v="No"/>
    <n v="3321"/>
    <n v="2088"/>
    <n v="70"/>
    <n v="360"/>
    <n v="1"/>
    <s v="Semiurban"/>
    <n v="5409"/>
    <n v="450.75"/>
    <n v="538.23943850903356"/>
    <n v="1.1940974786667411"/>
    <s v="Low Risk"/>
    <x v="0"/>
    <s v="&lt;100"/>
    <n v="0"/>
  </r>
  <r>
    <x v="57"/>
    <s v="Male"/>
    <s v="Yes"/>
    <n v="3"/>
    <s v="Graduate"/>
    <s v="No"/>
    <n v="3089"/>
    <n v="2999"/>
    <n v="100"/>
    <n v="240"/>
    <n v="1"/>
    <s v="Rural"/>
    <n v="6088"/>
    <n v="507.33333333333331"/>
    <n v="867.82323336553395"/>
    <n v="1.7105582786442852"/>
    <s v="Low Risk"/>
    <x v="0"/>
    <s v="100-200"/>
    <n v="0"/>
  </r>
  <r>
    <x v="58"/>
    <s v="Male"/>
    <s v="Yes"/>
    <n v="3"/>
    <s v="Not Graduate"/>
    <s v="No"/>
    <n v="6794"/>
    <n v="528"/>
    <n v="139"/>
    <n v="360"/>
    <n v="0"/>
    <s v="Urban"/>
    <n v="7322"/>
    <n v="610.16666666666663"/>
    <n v="1068.7897421822238"/>
    <n v="1.7516357424456004"/>
    <s v="High Risk"/>
    <x v="0"/>
    <s v="100-200"/>
    <n v="1"/>
  </r>
  <r>
    <x v="59"/>
    <s v="Male"/>
    <s v="No"/>
    <n v="0"/>
    <s v="Not Graduate"/>
    <s v="Yes"/>
    <n v="8703"/>
    <n v="0"/>
    <n v="199"/>
    <n v="360"/>
    <n v="0"/>
    <s v="Rural"/>
    <n v="8703"/>
    <n v="725.25"/>
    <n v="1530.137832332824"/>
    <n v="2.109807421348258"/>
    <s v="High Risk"/>
    <x v="0"/>
    <s v="100-200"/>
    <n v="1"/>
  </r>
  <r>
    <x v="60"/>
    <s v="Male"/>
    <s v="Yes"/>
    <n v="1"/>
    <s v="Graduate"/>
    <s v="No"/>
    <n v="4742"/>
    <n v="717"/>
    <n v="139"/>
    <n v="360"/>
    <n v="1"/>
    <s v="Semiurban"/>
    <n v="5459"/>
    <n v="454.91666666666669"/>
    <n v="1068.7897421822238"/>
    <n v="2.3494187408292149"/>
    <s v="Low Risk"/>
    <x v="0"/>
    <s v="100-200"/>
    <n v="0"/>
  </r>
  <r>
    <x v="61"/>
    <s v="Male"/>
    <s v="No"/>
    <n v="0"/>
    <s v="Graduate"/>
    <s v="No"/>
    <n v="5900"/>
    <n v="0"/>
    <n v="150"/>
    <n v="360"/>
    <n v="1"/>
    <s v="Urban"/>
    <n v="5900"/>
    <n v="491.66666666666669"/>
    <n v="1153.3702253765005"/>
    <n v="2.3458377465284754"/>
    <s v="Low Risk"/>
    <x v="0"/>
    <s v="100-200"/>
    <n v="0"/>
  </r>
  <r>
    <x v="62"/>
    <s v="Male"/>
    <s v="No"/>
    <n v="0"/>
    <s v="Graduate"/>
    <s v="No"/>
    <n v="3071"/>
    <n v="4309"/>
    <n v="180"/>
    <n v="360"/>
    <n v="1"/>
    <s v="Urban"/>
    <n v="7380"/>
    <n v="615"/>
    <n v="1384.0442704518005"/>
    <n v="2.250478488539513"/>
    <s v="Low Risk"/>
    <x v="0"/>
    <s v="100-200"/>
    <n v="0"/>
  </r>
  <r>
    <x v="63"/>
    <s v="Male"/>
    <s v="No"/>
    <n v="0"/>
    <s v="Graduate"/>
    <s v="No"/>
    <n v="5000"/>
    <n v="0"/>
    <n v="148"/>
    <n v="360"/>
    <n v="1"/>
    <s v="Rural"/>
    <n v="5000"/>
    <n v="416.66666666666669"/>
    <n v="1137.9919557048138"/>
    <n v="2.7311806936915528"/>
    <s v="Low Risk"/>
    <x v="0"/>
    <s v="100-200"/>
    <n v="0"/>
  </r>
  <r>
    <x v="64"/>
    <s v="Male"/>
    <s v="Yes"/>
    <n v="2"/>
    <s v="Graduate"/>
    <s v="Yes"/>
    <n v="4246"/>
    <n v="4246"/>
    <n v="214"/>
    <n v="360"/>
    <n v="1"/>
    <s v="Urban"/>
    <n v="8492"/>
    <n v="707.66666666666663"/>
    <n v="1645.474854870474"/>
    <n v="2.3252117591198411"/>
    <s v="Low Risk"/>
    <x v="0"/>
    <s v="200-300"/>
    <n v="0"/>
  </r>
  <r>
    <x v="65"/>
    <s v="Male"/>
    <s v="Yes"/>
    <n v="0"/>
    <s v="Graduate"/>
    <s v="No"/>
    <n v="4333"/>
    <n v="2291"/>
    <n v="133"/>
    <n v="350"/>
    <n v="1"/>
    <s v="Rural"/>
    <n v="6624"/>
    <n v="552"/>
    <n v="1029.0917034492104"/>
    <n v="1.8642965642195841"/>
    <s v="Low Risk"/>
    <x v="0"/>
    <s v="100-200"/>
    <n v="0"/>
  </r>
  <r>
    <x v="66"/>
    <s v="Male"/>
    <s v="No"/>
    <n v="1"/>
    <s v="Graduate"/>
    <s v="No"/>
    <n v="5823"/>
    <n v="2529"/>
    <n v="187"/>
    <n v="360"/>
    <n v="1"/>
    <s v="Semiurban"/>
    <n v="8352"/>
    <n v="696"/>
    <n v="1437.8682143027038"/>
    <n v="2.0659026067567585"/>
    <s v="Low Risk"/>
    <x v="0"/>
    <s v="100-200"/>
    <n v="0"/>
  </r>
  <r>
    <x v="67"/>
    <s v="Male"/>
    <s v="Yes"/>
    <n v="0"/>
    <s v="Not Graduate"/>
    <s v="No"/>
    <n v="7895"/>
    <n v="0"/>
    <n v="143"/>
    <n v="360"/>
    <n v="1"/>
    <s v="Rural"/>
    <n v="7895"/>
    <n v="657.91666666666663"/>
    <n v="1099.5462815255971"/>
    <n v="1.6712546394309267"/>
    <s v="Low Risk"/>
    <x v="0"/>
    <s v="100-200"/>
    <n v="0"/>
  </r>
  <r>
    <x v="68"/>
    <s v="Male"/>
    <s v="No"/>
    <n v="0"/>
    <s v="Graduate"/>
    <s v="No"/>
    <n v="4150"/>
    <n v="4256"/>
    <n v="209"/>
    <n v="360"/>
    <n v="1"/>
    <s v="Rural"/>
    <n v="8406"/>
    <n v="700.5"/>
    <n v="1607.0291806912571"/>
    <n v="2.2941173171895177"/>
    <s v="Low Risk"/>
    <x v="0"/>
    <s v="200-300"/>
    <n v="0"/>
  </r>
  <r>
    <x v="69"/>
    <s v="Male"/>
    <s v="No"/>
    <n v="0"/>
    <s v="Graduate"/>
    <s v="No"/>
    <n v="5583"/>
    <n v="0"/>
    <n v="116"/>
    <n v="360"/>
    <n v="1"/>
    <s v="Urban"/>
    <n v="5583"/>
    <n v="465.25"/>
    <n v="891.93964095782701"/>
    <n v="1.9171190563306331"/>
    <s v="Low Risk"/>
    <x v="0"/>
    <s v="100-200"/>
    <n v="0"/>
  </r>
  <r>
    <x v="70"/>
    <s v="Male"/>
    <s v="No"/>
    <n v="1"/>
    <s v="Graduate"/>
    <s v="No"/>
    <n v="3180"/>
    <n v="2370"/>
    <n v="80"/>
    <n v="240"/>
    <n v="0"/>
    <s v="Rural"/>
    <n v="5550"/>
    <n v="462.5"/>
    <n v="694.25858669242723"/>
    <n v="1.5010996469025453"/>
    <s v="High Risk"/>
    <x v="0"/>
    <s v="&lt;100"/>
    <n v="1"/>
  </r>
  <r>
    <x v="71"/>
    <s v="Male"/>
    <s v="Yes"/>
    <n v="0"/>
    <s v="Graduate"/>
    <s v="No"/>
    <n v="3042"/>
    <n v="3167"/>
    <n v="135"/>
    <n v="360"/>
    <n v="1"/>
    <s v="Urban"/>
    <n v="6209"/>
    <n v="517.41666666666663"/>
    <n v="1038.0332028388502"/>
    <n v="2.0061843185804804"/>
    <s v="Low Risk"/>
    <x v="0"/>
    <s v="100-200"/>
    <n v="0"/>
  </r>
  <r>
    <x v="72"/>
    <s v="Male"/>
    <s v="Yes"/>
    <n v="0"/>
    <s v="Graduate"/>
    <s v="No"/>
    <n v="5225"/>
    <n v="0"/>
    <n v="143"/>
    <n v="360"/>
    <n v="1"/>
    <s v="Rural"/>
    <n v="5225"/>
    <n v="435.41666666666669"/>
    <n v="1099.5462815255971"/>
    <n v="2.5252737566138115"/>
    <s v="Low Risk"/>
    <x v="0"/>
    <s v="100-200"/>
    <n v="0"/>
  </r>
  <r>
    <x v="73"/>
    <s v="Male"/>
    <s v="No"/>
    <n v="0"/>
    <s v="Graduate"/>
    <s v="No"/>
    <n v="3017"/>
    <n v="2845"/>
    <n v="159"/>
    <n v="180"/>
    <n v="0"/>
    <s v="Urban"/>
    <n v="5862"/>
    <n v="488.5"/>
    <n v="1565.7358971016934"/>
    <n v="3.2051911916104263"/>
    <s v="High Risk"/>
    <x v="0"/>
    <s v="100-200"/>
    <n v="1"/>
  </r>
  <r>
    <x v="74"/>
    <s v="Male"/>
    <s v="Yes"/>
    <n v="2"/>
    <s v="Graduate"/>
    <s v="No"/>
    <n v="4912"/>
    <n v="4614"/>
    <n v="160"/>
    <n v="360"/>
    <n v="1"/>
    <s v="Rural"/>
    <n v="9526"/>
    <n v="793.83333333333337"/>
    <n v="1230.2615737349338"/>
    <n v="1.5497731350849471"/>
    <s v="Low Risk"/>
    <x v="0"/>
    <s v="100-200"/>
    <n v="0"/>
  </r>
  <r>
    <x v="75"/>
    <s v="Male"/>
    <s v="Yes"/>
    <n v="2"/>
    <s v="Not Graduate"/>
    <s v="No"/>
    <n v="2500"/>
    <n v="3333"/>
    <n v="131"/>
    <n v="360"/>
    <n v="1"/>
    <s v="Urban"/>
    <n v="5833"/>
    <n v="486.08333333333331"/>
    <n v="1007.2766634954771"/>
    <n v="2.0722304066425039"/>
    <s v="Low Risk"/>
    <x v="0"/>
    <s v="100-200"/>
    <n v="0"/>
  </r>
  <r>
    <x v="76"/>
    <s v="Male"/>
    <s v="Yes"/>
    <n v="2"/>
    <s v="Graduate"/>
    <s v="No"/>
    <n v="5128"/>
    <n v="0"/>
    <n v="143"/>
    <n v="360"/>
    <n v="1"/>
    <s v="Rural"/>
    <n v="5128"/>
    <n v="427.33333333333331"/>
    <n v="1099.5462815255971"/>
    <n v="2.5730412204187143"/>
    <s v="Low Risk"/>
    <x v="0"/>
    <s v="100-200"/>
    <n v="0"/>
  </r>
  <r>
    <x v="77"/>
    <s v="Male"/>
    <s v="Yes"/>
    <n v="2"/>
    <s v="Graduate"/>
    <s v="No"/>
    <n v="3958"/>
    <n v="2632"/>
    <n v="160"/>
    <n v="360"/>
    <n v="1"/>
    <s v="Semiurban"/>
    <n v="6590"/>
    <n v="549.16666666666663"/>
    <n v="1230.2615737349338"/>
    <n v="2.2402335181819737"/>
    <s v="Low Risk"/>
    <x v="0"/>
    <s v="100-200"/>
    <n v="0"/>
  </r>
  <r>
    <x v="78"/>
    <s v="Male"/>
    <s v="Yes"/>
    <n v="0"/>
    <s v="Graduate"/>
    <s v="No"/>
    <n v="4334"/>
    <n v="2945"/>
    <n v="165"/>
    <n v="360"/>
    <n v="1"/>
    <s v="Semiurban"/>
    <n v="7279"/>
    <n v="606.58333333333337"/>
    <n v="1268.7072479141505"/>
    <n v="2.0915629859829377"/>
    <s v="Low Risk"/>
    <x v="0"/>
    <s v="100-200"/>
    <n v="0"/>
  </r>
  <r>
    <x v="79"/>
    <s v="Female"/>
    <s v="Yes"/>
    <n v="1"/>
    <s v="Graduate"/>
    <s v="No"/>
    <n v="4000"/>
    <n v="3917"/>
    <n v="173"/>
    <n v="360"/>
    <n v="1"/>
    <s v="Rural"/>
    <n v="7917"/>
    <n v="659.75"/>
    <n v="1330.2203266008971"/>
    <n v="2.0162490740445578"/>
    <s v="Low Risk"/>
    <x v="0"/>
    <s v="100-200"/>
    <n v="0"/>
  </r>
  <r>
    <x v="80"/>
    <s v="Male"/>
    <s v="Yes"/>
    <n v="2"/>
    <s v="Not Graduate"/>
    <s v="No"/>
    <n v="4521"/>
    <n v="1184"/>
    <n v="150"/>
    <n v="360"/>
    <n v="1"/>
    <s v="Semiurban"/>
    <n v="5705"/>
    <n v="475.41666666666669"/>
    <n v="1153.3702253765005"/>
    <n v="2.4260197553931646"/>
    <s v="Low Risk"/>
    <x v="0"/>
    <s v="100-200"/>
    <n v="0"/>
  </r>
  <r>
    <x v="81"/>
    <s v="Male"/>
    <s v="Yes"/>
    <n v="2"/>
    <s v="Graduate"/>
    <s v="No"/>
    <n v="9167"/>
    <n v="0"/>
    <n v="235"/>
    <n v="360"/>
    <n v="1"/>
    <s v="Semiurban"/>
    <n v="9167"/>
    <n v="763.91666666666663"/>
    <n v="1806.946686423184"/>
    <n v="2.3653714669006445"/>
    <s v="Low Risk"/>
    <x v="0"/>
    <s v="200-300"/>
    <n v="0"/>
  </r>
  <r>
    <x v="82"/>
    <s v="Male"/>
    <s v="Yes"/>
    <n v="2"/>
    <s v="Not Graduate"/>
    <s v="No"/>
    <n v="3785"/>
    <n v="2912"/>
    <n v="180"/>
    <n v="360"/>
    <n v="0"/>
    <s v="Rural"/>
    <n v="6697"/>
    <n v="558.08333333333337"/>
    <n v="1384.0442704518005"/>
    <n v="2.4799957063493512"/>
    <s v="High Risk"/>
    <x v="0"/>
    <s v="100-200"/>
    <n v="1"/>
  </r>
  <r>
    <x v="83"/>
    <s v="Male"/>
    <s v="No"/>
    <n v="0"/>
    <s v="Graduate"/>
    <s v="Yes"/>
    <n v="5833"/>
    <n v="0"/>
    <n v="116"/>
    <n v="360"/>
    <n v="1"/>
    <s v="Urban"/>
    <n v="5833"/>
    <n v="486.08333333333331"/>
    <n v="891.93964095782701"/>
    <n v="1.8349521158055759"/>
    <s v="Low Risk"/>
    <x v="0"/>
    <s v="100-200"/>
    <n v="0"/>
  </r>
  <r>
    <x v="84"/>
    <s v="Male"/>
    <s v="Yes"/>
    <n v="0"/>
    <s v="Graduate"/>
    <s v="Yes"/>
    <n v="8706"/>
    <n v="0"/>
    <n v="108"/>
    <n v="480"/>
    <n v="1"/>
    <s v="Rural"/>
    <n v="8706"/>
    <n v="725.5"/>
    <n v="791.74159375185161"/>
    <n v="1.0913047467289478"/>
    <s v="Low Risk"/>
    <x v="0"/>
    <s v="100-200"/>
    <n v="0"/>
  </r>
  <r>
    <x v="85"/>
    <s v="Female"/>
    <s v="Yes"/>
    <n v="0"/>
    <s v="Graduate"/>
    <s v="No"/>
    <n v="3159"/>
    <n v="2374"/>
    <n v="108"/>
    <n v="360"/>
    <n v="1"/>
    <s v="Semiurban"/>
    <n v="5533"/>
    <n v="461.08333333333331"/>
    <n v="830.42656227108023"/>
    <n v="1.8010335708029934"/>
    <s v="Low Risk"/>
    <x v="0"/>
    <s v="100-200"/>
    <n v="0"/>
  </r>
  <r>
    <x v="86"/>
    <s v="Male"/>
    <s v="Yes"/>
    <n v="0"/>
    <s v="Graduate"/>
    <s v="No"/>
    <n v="2613"/>
    <n v="2417"/>
    <n v="123"/>
    <n v="360"/>
    <n v="1"/>
    <s v="Semiurban"/>
    <n v="5030"/>
    <n v="419.16666666666669"/>
    <n v="945.76358480873034"/>
    <n v="2.2562948345337501"/>
    <s v="Low Risk"/>
    <x v="0"/>
    <s v="100-200"/>
    <n v="0"/>
  </r>
  <r>
    <x v="87"/>
    <s v="Male"/>
    <s v="Yes"/>
    <n v="1"/>
    <s v="Graduate"/>
    <s v="No"/>
    <n v="4960"/>
    <n v="2600"/>
    <n v="187"/>
    <n v="360"/>
    <n v="1"/>
    <s v="Semiurban"/>
    <n v="7560"/>
    <n v="630"/>
    <n v="1437.8682143027038"/>
    <n v="2.2823304988931805"/>
    <s v="Low Risk"/>
    <x v="0"/>
    <s v="100-200"/>
    <n v="0"/>
  </r>
  <r>
    <x v="88"/>
    <s v="Male"/>
    <s v="No"/>
    <n v="1"/>
    <s v="Not Graduate"/>
    <s v="No"/>
    <n v="2038"/>
    <n v="4027"/>
    <n v="100"/>
    <n v="360"/>
    <n v="1"/>
    <s v="Rural"/>
    <n v="6065"/>
    <n v="505.41666666666669"/>
    <n v="768.91348358433368"/>
    <n v="1.5213457218486404"/>
    <s v="Low Risk"/>
    <x v="0"/>
    <s v="100-200"/>
    <n v="0"/>
  </r>
  <r>
    <x v="89"/>
    <s v="Male"/>
    <s v="No"/>
    <n v="0"/>
    <s v="Graduate"/>
    <s v="No"/>
    <n v="5333"/>
    <n v="2400"/>
    <n v="200"/>
    <n v="360"/>
    <n v="0"/>
    <s v="Rural"/>
    <n v="7733"/>
    <n v="644.41666666666663"/>
    <n v="1537.8269671686674"/>
    <n v="2.3863860863861386"/>
    <s v="High Risk"/>
    <x v="0"/>
    <s v="200-300"/>
    <n v="1"/>
  </r>
  <r>
    <x v="90"/>
    <s v="Male"/>
    <s v="Yes"/>
    <n v="3"/>
    <s v="Graduate"/>
    <s v="Yes"/>
    <n v="5384"/>
    <n v="0"/>
    <n v="150"/>
    <n v="360"/>
    <n v="1"/>
    <s v="Semiurban"/>
    <n v="5384"/>
    <n v="448.66666666666669"/>
    <n v="1153.3702253765005"/>
    <n v="2.5706617207500009"/>
    <s v="Low Risk"/>
    <x v="0"/>
    <s v="100-200"/>
    <n v="0"/>
  </r>
  <r>
    <x v="91"/>
    <s v="Male"/>
    <s v="No"/>
    <n v="0"/>
    <s v="Graduate"/>
    <s v="No"/>
    <n v="5708"/>
    <n v="0"/>
    <n v="150"/>
    <n v="360"/>
    <n v="1"/>
    <s v="Rural"/>
    <n v="5708"/>
    <n v="475.66666666666669"/>
    <n v="1153.3702253765005"/>
    <n v="2.4247446924523484"/>
    <s v="Low Risk"/>
    <x v="0"/>
    <s v="100-200"/>
    <n v="0"/>
  </r>
  <r>
    <x v="92"/>
    <s v="Male"/>
    <s v="Yes"/>
    <n v="0"/>
    <s v="Not Graduate"/>
    <s v="No"/>
    <n v="3754"/>
    <n v="3719"/>
    <n v="118"/>
    <n v="360"/>
    <n v="1"/>
    <s v="Rural"/>
    <n v="7473"/>
    <n v="622.75"/>
    <n v="907.31791062951368"/>
    <n v="1.4569536902922742"/>
    <s v="Low Risk"/>
    <x v="0"/>
    <s v="100-200"/>
    <n v="0"/>
  </r>
  <r>
    <x v="93"/>
    <s v="Male"/>
    <s v="Yes"/>
    <n v="0"/>
    <s v="Not Graduate"/>
    <s v="No"/>
    <n v="2914"/>
    <n v="2130"/>
    <n v="150"/>
    <n v="300"/>
    <n v="1"/>
    <s v="Urban"/>
    <n v="5044"/>
    <n v="420.33333333333331"/>
    <n v="1207.840625193197"/>
    <n v="2.8735304326562976"/>
    <s v="Low Risk"/>
    <x v="0"/>
    <s v="100-200"/>
    <n v="0"/>
  </r>
  <r>
    <x v="94"/>
    <s v="Male"/>
    <s v="Yes"/>
    <n v="0"/>
    <s v="Not Graduate"/>
    <s v="No"/>
    <n v="2747"/>
    <n v="2458"/>
    <n v="118"/>
    <n v="36"/>
    <n v="1"/>
    <s v="Semiurban"/>
    <n v="5205"/>
    <n v="433.75"/>
    <n v="3724.9694159797727"/>
    <n v="8.5878257428928482"/>
    <s v="Low Risk"/>
    <x v="0"/>
    <s v="100-200"/>
    <n v="0"/>
  </r>
  <r>
    <x v="95"/>
    <s v="Male"/>
    <s v="Yes"/>
    <n v="1"/>
    <s v="Graduate"/>
    <s v="Yes"/>
    <n v="3507"/>
    <n v="3148"/>
    <n v="212"/>
    <n v="360"/>
    <n v="1"/>
    <s v="Rural"/>
    <n v="6655"/>
    <n v="554.58333333333337"/>
    <n v="1630.0965851987874"/>
    <n v="2.9393176592615249"/>
    <s v="Low Risk"/>
    <x v="0"/>
    <s v="200-300"/>
    <n v="0"/>
  </r>
  <r>
    <x v="96"/>
    <s v="Male"/>
    <s v="Yes"/>
    <n v="1"/>
    <s v="Graduate"/>
    <s v="No"/>
    <n v="3747"/>
    <n v="2139"/>
    <n v="125"/>
    <n v="360"/>
    <n v="1"/>
    <s v="Urban"/>
    <n v="5886"/>
    <n v="490.5"/>
    <n v="961.14185448041712"/>
    <n v="1.9595144841598717"/>
    <s v="Low Risk"/>
    <x v="0"/>
    <s v="100-200"/>
    <n v="0"/>
  </r>
  <r>
    <x v="97"/>
    <s v="Male"/>
    <s v="Yes"/>
    <n v="0"/>
    <s v="Not Graduate"/>
    <s v="No"/>
    <n v="3500"/>
    <n v="2168"/>
    <n v="149"/>
    <n v="360"/>
    <n v="1"/>
    <s v="Rural"/>
    <n v="5668"/>
    <n v="472.33333333333331"/>
    <n v="1145.6810905406571"/>
    <n v="2.4255774676231274"/>
    <s v="Low Risk"/>
    <x v="0"/>
    <s v="100-200"/>
    <n v="0"/>
  </r>
  <r>
    <x v="98"/>
    <s v="Female"/>
    <s v="No"/>
    <n v="1"/>
    <s v="Graduate"/>
    <s v="No"/>
    <n v="5062"/>
    <n v="0"/>
    <n v="152"/>
    <n v="300"/>
    <n v="1"/>
    <s v="Rural"/>
    <n v="5062"/>
    <n v="421.83333333333331"/>
    <n v="1223.9451668624395"/>
    <n v="2.9014899253949573"/>
    <s v="Low Risk"/>
    <x v="0"/>
    <s v="100-200"/>
    <n v="0"/>
  </r>
  <r>
    <x v="99"/>
    <s v="Female"/>
    <s v="No"/>
    <n v="2"/>
    <s v="Graduate"/>
    <s v="Yes"/>
    <n v="5184"/>
    <n v="0"/>
    <n v="187"/>
    <n v="360"/>
    <n v="0"/>
    <s v="Semiurban"/>
    <n v="5184"/>
    <n v="432"/>
    <n v="1437.8682143027038"/>
    <n v="3.3283986442192219"/>
    <s v="High Risk"/>
    <x v="0"/>
    <s v="100-200"/>
    <n v="1"/>
  </r>
  <r>
    <x v="100"/>
    <s v="Male"/>
    <s v="Yes"/>
    <n v="1"/>
    <s v="Graduate"/>
    <s v="No"/>
    <n v="3436"/>
    <n v="3809"/>
    <n v="100"/>
    <n v="360"/>
    <n v="1"/>
    <s v="Rural"/>
    <n v="7245"/>
    <n v="603.75"/>
    <n v="768.91348358433368"/>
    <n v="1.2735627057297452"/>
    <s v="Low Risk"/>
    <x v="0"/>
    <s v="100-200"/>
    <n v="0"/>
  </r>
  <r>
    <x v="101"/>
    <s v="Male"/>
    <s v="No"/>
    <n v="0"/>
    <s v="Graduate"/>
    <s v="No"/>
    <n v="2412"/>
    <n v="2755"/>
    <n v="130"/>
    <n v="360"/>
    <n v="1"/>
    <s v="Rural"/>
    <n v="5167"/>
    <n v="430.58333333333331"/>
    <n v="999.58752865963379"/>
    <n v="2.3214728747659388"/>
    <s v="Low Risk"/>
    <x v="0"/>
    <s v="100-200"/>
    <n v="0"/>
  </r>
  <r>
    <x v="102"/>
    <s v="Male"/>
    <s v="Yes"/>
    <n v="3"/>
    <s v="Not Graduate"/>
    <s v="No"/>
    <n v="5180"/>
    <n v="0"/>
    <n v="125"/>
    <n v="360"/>
    <n v="0"/>
    <s v="Urban"/>
    <n v="5180"/>
    <n v="431.66666666666669"/>
    <n v="961.14185448041712"/>
    <n v="2.2265834466727807"/>
    <s v="High Risk"/>
    <x v="0"/>
    <s v="100-200"/>
    <n v="1"/>
  </r>
  <r>
    <x v="103"/>
    <s v="Male"/>
    <s v="No"/>
    <n v="0"/>
    <s v="Graduate"/>
    <s v="Yes"/>
    <n v="2860"/>
    <n v="2988"/>
    <n v="138"/>
    <n v="360"/>
    <n v="1"/>
    <s v="Urban"/>
    <n v="5848"/>
    <n v="487.33333333333331"/>
    <n v="1061.1006073463805"/>
    <n v="2.1773610273865538"/>
    <s v="Low Risk"/>
    <x v="0"/>
    <s v="100-200"/>
    <n v="0"/>
  </r>
  <r>
    <x v="104"/>
    <s v="Female"/>
    <s v="No"/>
    <n v="1"/>
    <s v="Graduate"/>
    <s v="No"/>
    <n v="7600"/>
    <n v="0"/>
    <n v="92"/>
    <n v="360"/>
    <n v="1"/>
    <s v="Semiurban"/>
    <n v="7600"/>
    <n v="633.33333333333337"/>
    <n v="707.4004048975869"/>
    <n v="1.1169480077330318"/>
    <s v="Low Risk"/>
    <x v="0"/>
    <s v="&lt;100"/>
    <n v="0"/>
  </r>
  <r>
    <x v="105"/>
    <s v="Male"/>
    <s v="No"/>
    <n v="0"/>
    <s v="Graduate"/>
    <s v="No"/>
    <n v="2231"/>
    <n v="2774"/>
    <n v="176"/>
    <n v="360"/>
    <n v="0"/>
    <s v="Urban"/>
    <n v="5005"/>
    <n v="417.08333333333331"/>
    <n v="1353.2877311084274"/>
    <n v="3.2446459087514743"/>
    <s v="High Risk"/>
    <x v="0"/>
    <s v="100-200"/>
    <n v="1"/>
  </r>
  <r>
    <x v="106"/>
    <s v="Female"/>
    <s v="No"/>
    <n v="0"/>
    <s v="Graduate"/>
    <s v="No"/>
    <n v="2274"/>
    <n v="5211"/>
    <n v="117"/>
    <n v="360"/>
    <n v="0"/>
    <s v="Semiurban"/>
    <n v="7485"/>
    <n v="623.75"/>
    <n v="899.62877579367034"/>
    <n v="1.4422906225149024"/>
    <s v="High Risk"/>
    <x v="0"/>
    <s v="100-200"/>
    <n v="1"/>
  </r>
  <r>
    <x v="107"/>
    <s v="Male"/>
    <s v="Yes"/>
    <n v="0"/>
    <s v="Graduate"/>
    <s v="No"/>
    <n v="3887"/>
    <n v="1517"/>
    <n v="105"/>
    <n v="360"/>
    <n v="0"/>
    <s v="Semiurban"/>
    <n v="5404"/>
    <n v="450.33333333333331"/>
    <n v="807.35915776355023"/>
    <n v="1.7928034591344566"/>
    <s v="High Risk"/>
    <x v="0"/>
    <s v="100-200"/>
    <n v="1"/>
  </r>
  <r>
    <x v="108"/>
    <s v="Male"/>
    <s v="Yes"/>
    <n v="0"/>
    <s v="Graduate"/>
    <s v="No"/>
    <n v="3186"/>
    <n v="3145"/>
    <n v="150"/>
    <n v="180"/>
    <n v="0"/>
    <s v="Semiurban"/>
    <n v="6331"/>
    <n v="527.58333333333337"/>
    <n v="1477.1093368883899"/>
    <n v="2.7997649727784988"/>
    <s v="High Risk"/>
    <x v="0"/>
    <s v="100-200"/>
    <n v="1"/>
  </r>
  <r>
    <x v="109"/>
    <s v="Male"/>
    <s v="Yes"/>
    <n v="2"/>
    <s v="Graduate"/>
    <s v="Yes"/>
    <n v="5000"/>
    <n v="2166"/>
    <n v="150"/>
    <n v="360"/>
    <n v="1"/>
    <s v="Urban"/>
    <n v="7166"/>
    <n v="597.16666666666663"/>
    <n v="1153.3702253765005"/>
    <n v="1.9314042289307851"/>
    <s v="Low Risk"/>
    <x v="0"/>
    <s v="100-200"/>
    <n v="0"/>
  </r>
  <r>
    <x v="110"/>
    <s v="Male"/>
    <s v="Yes"/>
    <n v="2"/>
    <s v="Graduate"/>
    <s v="No"/>
    <n v="4010"/>
    <n v="1025"/>
    <n v="120"/>
    <n v="360"/>
    <n v="1"/>
    <s v="Urban"/>
    <n v="5035"/>
    <n v="419.58333333333331"/>
    <n v="922.69618030120034"/>
    <n v="2.199077291681113"/>
    <s v="Low Risk"/>
    <x v="0"/>
    <s v="100-200"/>
    <n v="0"/>
  </r>
  <r>
    <x v="111"/>
    <s v="Female"/>
    <s v="Yes"/>
    <n v="1"/>
    <s v="Graduate"/>
    <s v="No"/>
    <n v="3719"/>
    <n v="1585"/>
    <n v="114"/>
    <n v="360"/>
    <n v="1"/>
    <s v="Urban"/>
    <n v="5304"/>
    <n v="442"/>
    <n v="876.56137128614034"/>
    <n v="1.9831705232718106"/>
    <s v="Low Risk"/>
    <x v="0"/>
    <s v="100-200"/>
    <n v="0"/>
  </r>
  <r>
    <x v="112"/>
    <s v="Male"/>
    <s v="Yes"/>
    <n v="0"/>
    <s v="Graduate"/>
    <s v="No"/>
    <n v="3333"/>
    <n v="4288"/>
    <n v="160"/>
    <n v="360"/>
    <n v="1"/>
    <s v="Urban"/>
    <n v="7621"/>
    <n v="635.08333333333337"/>
    <n v="1230.2615737349338"/>
    <n v="1.9371655799526577"/>
    <s v="Low Risk"/>
    <x v="0"/>
    <s v="100-200"/>
    <n v="0"/>
  </r>
  <r>
    <x v="113"/>
    <s v="Male"/>
    <s v="Yes"/>
    <n v="0"/>
    <s v="Graduate"/>
    <s v="No"/>
    <n v="3007"/>
    <n v="3725"/>
    <n v="151"/>
    <n v="360"/>
    <n v="1"/>
    <s v="Rural"/>
    <n v="6732"/>
    <n v="561"/>
    <n v="1161.0593602123438"/>
    <n v="2.069624528007743"/>
    <s v="Low Risk"/>
    <x v="0"/>
    <s v="100-200"/>
    <n v="0"/>
  </r>
  <r>
    <x v="114"/>
    <s v="Female"/>
    <s v="No"/>
    <n v="1"/>
    <s v="Graduate"/>
    <s v="No"/>
    <n v="1850"/>
    <n v="4583"/>
    <n v="81"/>
    <n v="360"/>
    <n v="0"/>
    <s v="Rural"/>
    <n v="6433"/>
    <n v="536.08333333333337"/>
    <n v="622.81992170331023"/>
    <n v="1.161796838246498"/>
    <s v="High Risk"/>
    <x v="0"/>
    <s v="&lt;100"/>
    <n v="1"/>
  </r>
  <r>
    <x v="115"/>
    <s v="Male"/>
    <s v="Yes"/>
    <n v="3"/>
    <s v="Not Graduate"/>
    <s v="No"/>
    <n v="2792"/>
    <n v="2619"/>
    <n v="171"/>
    <n v="360"/>
    <n v="1"/>
    <s v="Semiurban"/>
    <n v="5411"/>
    <n v="450.91666666666669"/>
    <n v="1314.8420569292107"/>
    <n v="2.9159313774072313"/>
    <s v="Low Risk"/>
    <x v="0"/>
    <s v="100-200"/>
    <n v="0"/>
  </r>
  <r>
    <x v="116"/>
    <s v="Male"/>
    <s v="No"/>
    <n v="0"/>
    <s v="Graduate"/>
    <s v="No"/>
    <n v="3579"/>
    <n v="3308"/>
    <n v="138"/>
    <n v="360"/>
    <n v="0"/>
    <s v="Semiurban"/>
    <n v="6887"/>
    <n v="573.91666666666663"/>
    <n v="1061.1006073463805"/>
    <n v="1.8488757496960311"/>
    <s v="High Risk"/>
    <x v="0"/>
    <s v="100-200"/>
    <n v="1"/>
  </r>
  <r>
    <x v="117"/>
    <s v="Female"/>
    <s v="Yes"/>
    <n v="1"/>
    <s v="Not Graduate"/>
    <s v="No"/>
    <n v="3835"/>
    <n v="1400"/>
    <n v="112"/>
    <n v="480"/>
    <n v="0"/>
    <s v="Urban"/>
    <n v="5235"/>
    <n v="436.25"/>
    <n v="821.06535648340162"/>
    <n v="1.8820982383573677"/>
    <s v="High Risk"/>
    <x v="0"/>
    <s v="100-200"/>
    <n v="1"/>
  </r>
  <r>
    <x v="118"/>
    <s v="Female"/>
    <s v="No"/>
    <n v="1"/>
    <s v="Not Graduate"/>
    <s v="No"/>
    <n v="3854"/>
    <n v="3575"/>
    <n v="117"/>
    <n v="360"/>
    <n v="1"/>
    <s v="Rural"/>
    <n v="7429"/>
    <n v="619.08333333333337"/>
    <n v="899.62877579367034"/>
    <n v="1.4531626476677943"/>
    <s v="Low Risk"/>
    <x v="0"/>
    <s v="100-200"/>
    <n v="0"/>
  </r>
  <r>
    <x v="119"/>
    <s v="Male"/>
    <s v="Yes"/>
    <n v="2"/>
    <s v="Graduate"/>
    <s v="No"/>
    <n v="5833"/>
    <n v="750"/>
    <n v="49"/>
    <n v="360"/>
    <n v="0"/>
    <s v="Rural"/>
    <n v="6583"/>
    <n v="548.58333333333337"/>
    <n v="376.7676069563235"/>
    <n v="0.68680104564421718"/>
    <s v="High Risk"/>
    <x v="0"/>
    <s v="&lt;100"/>
    <n v="1"/>
  </r>
  <r>
    <x v="120"/>
    <s v="Female"/>
    <s v="No"/>
    <n v="0"/>
    <s v="Graduate"/>
    <s v="Yes"/>
    <n v="3333"/>
    <n v="3916"/>
    <n v="212"/>
    <n v="360"/>
    <n v="1"/>
    <s v="Rural"/>
    <n v="7249"/>
    <n v="604.08333333333337"/>
    <n v="1630.0965851987874"/>
    <n v="2.6984631014464679"/>
    <s v="Low Risk"/>
    <x v="0"/>
    <s v="200-300"/>
    <n v="0"/>
  </r>
  <r>
    <x v="121"/>
    <s v="Male"/>
    <s v="Yes"/>
    <n v="2"/>
    <s v="Graduate"/>
    <s v="No"/>
    <n v="5667"/>
    <n v="440"/>
    <n v="130"/>
    <n v="360"/>
    <n v="0"/>
    <s v="Semiurban"/>
    <n v="6107"/>
    <n v="508.91666666666669"/>
    <n v="999.58752865963379"/>
    <n v="1.9641477556763722"/>
    <s v="High Risk"/>
    <x v="0"/>
    <s v="100-200"/>
    <n v="1"/>
  </r>
  <r>
    <x v="122"/>
    <s v="Male"/>
    <s v="Yes"/>
    <n v="0"/>
    <s v="Graduate"/>
    <s v="No"/>
    <n v="6500"/>
    <n v="0"/>
    <n v="144"/>
    <n v="360"/>
    <n v="1"/>
    <s v="Urban"/>
    <n v="6500"/>
    <n v="541.66666666666663"/>
    <n v="1107.2354163614405"/>
    <n v="2.0441269225134286"/>
    <s v="Low Risk"/>
    <x v="0"/>
    <s v="100-200"/>
    <n v="0"/>
  </r>
  <r>
    <x v="123"/>
    <s v="Female"/>
    <s v="No"/>
    <n v="0"/>
    <s v="Graduate"/>
    <s v="No"/>
    <n v="5769"/>
    <n v="0"/>
    <n v="110"/>
    <n v="180"/>
    <n v="1"/>
    <s v="Semiurban"/>
    <n v="5769"/>
    <n v="480.75"/>
    <n v="1083.2135137181526"/>
    <n v="2.2531742355031774"/>
    <s v="Low Risk"/>
    <x v="0"/>
    <s v="100-200"/>
    <n v="0"/>
  </r>
  <r>
    <x v="124"/>
    <s v="Male"/>
    <s v="Yes"/>
    <n v="0"/>
    <s v="Graduate"/>
    <s v="No"/>
    <n v="5000"/>
    <n v="0"/>
    <n v="126"/>
    <n v="360"/>
    <n v="1"/>
    <s v="Rural"/>
    <n v="5000"/>
    <n v="416.66666666666669"/>
    <n v="968.83098931626046"/>
    <n v="2.3251943743590249"/>
    <s v="Low Risk"/>
    <x v="0"/>
    <s v="100-200"/>
    <n v="0"/>
  </r>
  <r>
    <x v="125"/>
    <s v="Female"/>
    <s v="No"/>
    <n v="0"/>
    <s v="Graduate"/>
    <s v="No"/>
    <n v="5530"/>
    <n v="0"/>
    <n v="135"/>
    <n v="360"/>
    <n v="0"/>
    <s v="Urban"/>
    <n v="5530"/>
    <n v="460.83333333333331"/>
    <n v="1038.0332028388502"/>
    <n v="2.2525132792163118"/>
    <s v="High Risk"/>
    <x v="0"/>
    <s v="100-200"/>
    <n v="1"/>
  </r>
  <r>
    <x v="126"/>
    <s v="Male"/>
    <s v="No"/>
    <n v="0"/>
    <s v="Not Graduate"/>
    <s v="No"/>
    <n v="9000"/>
    <n v="0"/>
    <n v="122"/>
    <n v="360"/>
    <n v="1"/>
    <s v="Rural"/>
    <n v="9000"/>
    <n v="750"/>
    <n v="938.07444997288701"/>
    <n v="1.2507659332971828"/>
    <s v="Low Risk"/>
    <x v="0"/>
    <s v="100-200"/>
    <n v="0"/>
  </r>
  <r>
    <x v="127"/>
    <s v="Male"/>
    <s v="Yes"/>
    <n v="1"/>
    <s v="Graduate"/>
    <s v="No"/>
    <n v="8750"/>
    <n v="0"/>
    <n v="297"/>
    <n v="360"/>
    <n v="1"/>
    <s v="Urban"/>
    <n v="8750"/>
    <n v="729.16666666666663"/>
    <n v="2283.6730462454707"/>
    <n v="3.13189446342236"/>
    <s v="Low Risk"/>
    <x v="0"/>
    <s v="200-300"/>
    <n v="0"/>
  </r>
  <r>
    <x v="128"/>
    <s v="Male"/>
    <s v="No"/>
    <n v="0"/>
    <s v="Graduate"/>
    <s v="No"/>
    <n v="1972"/>
    <n v="4347"/>
    <n v="106"/>
    <n v="360"/>
    <n v="1"/>
    <s v="Rural"/>
    <n v="6319"/>
    <n v="526.58333333333337"/>
    <n v="815.04829259939368"/>
    <n v="1.5478049550866788"/>
    <s v="Low Risk"/>
    <x v="0"/>
    <s v="100-200"/>
    <n v="0"/>
  </r>
  <r>
    <x v="129"/>
    <s v="Male"/>
    <s v="Yes"/>
    <n v="0"/>
    <s v="Graduate"/>
    <s v="No"/>
    <n v="3667"/>
    <n v="2000"/>
    <n v="170"/>
    <n v="360"/>
    <n v="1"/>
    <s v="Semiurban"/>
    <n v="5667"/>
    <n v="472.25"/>
    <n v="1307.1529220933671"/>
    <n v="2.7679257217434983"/>
    <s v="Low Risk"/>
    <x v="0"/>
    <s v="100-200"/>
    <n v="0"/>
  </r>
  <r>
    <x v="130"/>
    <s v="Male"/>
    <s v="Yes"/>
    <n v="2"/>
    <s v="Graduate"/>
    <s v="No"/>
    <n v="3166"/>
    <n v="2833"/>
    <n v="145"/>
    <n v="360"/>
    <n v="1"/>
    <s v="Urban"/>
    <n v="5999"/>
    <n v="499.91666666666669"/>
    <n v="1114.9245511972838"/>
    <n v="2.2302208058622113"/>
    <s v="Low Risk"/>
    <x v="0"/>
    <s v="100-200"/>
    <n v="0"/>
  </r>
  <r>
    <x v="131"/>
    <s v="Male"/>
    <s v="No"/>
    <n v="0"/>
    <s v="Graduate"/>
    <s v="No"/>
    <n v="6478"/>
    <n v="0"/>
    <n v="108"/>
    <n v="360"/>
    <n v="1"/>
    <s v="Semiurban"/>
    <n v="6478"/>
    <n v="539.83333333333337"/>
    <n v="830.42656227108023"/>
    <n v="1.53830175165992"/>
    <s v="Low Risk"/>
    <x v="0"/>
    <s v="100-200"/>
    <n v="0"/>
  </r>
  <r>
    <x v="132"/>
    <s v="Male"/>
    <s v="Yes"/>
    <n v="1"/>
    <s v="Graduate"/>
    <s v="Yes"/>
    <n v="7500"/>
    <n v="0"/>
    <n v="75"/>
    <n v="360"/>
    <n v="1"/>
    <s v="Urban"/>
    <n v="7500"/>
    <n v="625"/>
    <n v="576.68511268825023"/>
    <n v="0.92269618030120037"/>
    <s v="Low Risk"/>
    <x v="0"/>
    <s v="&lt;100"/>
    <n v="0"/>
  </r>
  <r>
    <x v="133"/>
    <s v="Male"/>
    <s v="Yes"/>
    <n v="1"/>
    <s v="Graduate"/>
    <s v="No"/>
    <n v="6300"/>
    <n v="0"/>
    <n v="125"/>
    <n v="360"/>
    <n v="0"/>
    <s v="Urban"/>
    <n v="6300"/>
    <n v="525"/>
    <n v="961.14185448041712"/>
    <n v="1.8307463894865088"/>
    <s v="High Risk"/>
    <x v="0"/>
    <s v="100-200"/>
    <n v="1"/>
  </r>
  <r>
    <x v="134"/>
    <s v="Male"/>
    <s v="Yes"/>
    <n v="2"/>
    <s v="Graduate"/>
    <s v="Yes"/>
    <n v="7500"/>
    <n v="0"/>
    <n v="183"/>
    <n v="360"/>
    <n v="1"/>
    <s v="Rural"/>
    <n v="7500"/>
    <n v="625"/>
    <n v="1407.1116749593307"/>
    <n v="2.2513786799349291"/>
    <s v="Low Risk"/>
    <x v="0"/>
    <s v="100-200"/>
    <n v="0"/>
  </r>
  <r>
    <x v="135"/>
    <s v="Male"/>
    <s v="Yes"/>
    <n v="1"/>
    <s v="Graduate"/>
    <s v="No"/>
    <n v="6825"/>
    <n v="0"/>
    <n v="162"/>
    <n v="360"/>
    <n v="1"/>
    <s v="Rural"/>
    <n v="6825"/>
    <n v="568.75"/>
    <n v="1245.6398434066205"/>
    <n v="2.1901359884072447"/>
    <s v="Low Risk"/>
    <x v="0"/>
    <s v="100-200"/>
    <n v="0"/>
  </r>
  <r>
    <x v="136"/>
    <s v="Male"/>
    <s v="Yes"/>
    <n v="0"/>
    <s v="Graduate"/>
    <s v="No"/>
    <n v="3708"/>
    <n v="4700"/>
    <n v="132"/>
    <n v="360"/>
    <n v="1"/>
    <s v="Semiurban"/>
    <n v="8408"/>
    <n v="700.66666666666663"/>
    <n v="1014.9657983313205"/>
    <n v="1.4485715485223414"/>
    <s v="Low Risk"/>
    <x v="0"/>
    <s v="100-200"/>
    <n v="0"/>
  </r>
  <r>
    <x v="137"/>
    <s v="Male"/>
    <s v="No"/>
    <n v="0"/>
    <s v="Graduate"/>
    <s v="No"/>
    <n v="5314"/>
    <n v="0"/>
    <n v="147"/>
    <n v="360"/>
    <n v="1"/>
    <s v="Urban"/>
    <n v="5314"/>
    <n v="442.83333333333331"/>
    <n v="1130.3028208689702"/>
    <n v="2.5524339199148747"/>
    <s v="Low Risk"/>
    <x v="0"/>
    <s v="100-200"/>
    <n v="0"/>
  </r>
  <r>
    <x v="138"/>
    <s v="Female"/>
    <s v="No"/>
    <n v="3"/>
    <s v="Graduate"/>
    <s v="No"/>
    <n v="2366"/>
    <n v="5272"/>
    <n v="153"/>
    <n v="360"/>
    <n v="0"/>
    <s v="Rural"/>
    <n v="7638"/>
    <n v="636.5"/>
    <n v="1176.4376298840305"/>
    <n v="1.848291641608846"/>
    <s v="High Risk"/>
    <x v="0"/>
    <s v="100-200"/>
    <n v="1"/>
  </r>
  <r>
    <x v="139"/>
    <s v="Male"/>
    <s v="Yes"/>
    <n v="2"/>
    <s v="Graduate"/>
    <s v="No"/>
    <n v="5000"/>
    <n v="0"/>
    <n v="149"/>
    <n v="360"/>
    <n v="1"/>
    <s v="Rural"/>
    <n v="5000"/>
    <n v="416.66666666666669"/>
    <n v="1145.6810905406571"/>
    <n v="2.749634617297577"/>
    <s v="Low Risk"/>
    <x v="0"/>
    <s v="100-200"/>
    <n v="0"/>
  </r>
  <r>
    <x v="140"/>
    <s v="Female"/>
    <s v="Yes"/>
    <n v="0"/>
    <s v="Graduate"/>
    <s v="No"/>
    <n v="7859"/>
    <n v="879"/>
    <n v="165"/>
    <n v="180"/>
    <n v="1"/>
    <s v="Semiurban"/>
    <n v="8738"/>
    <n v="728.16666666666663"/>
    <n v="1624.8202705772289"/>
    <n v="2.2313851278240726"/>
    <s v="Low Risk"/>
    <x v="0"/>
    <s v="100-200"/>
    <n v="0"/>
  </r>
  <r>
    <x v="141"/>
    <s v="Male"/>
    <s v="No"/>
    <n v="0"/>
    <s v="Graduate"/>
    <s v="No"/>
    <n v="3083"/>
    <n v="2738"/>
    <n v="120"/>
    <n v="360"/>
    <n v="1"/>
    <s v="Urban"/>
    <n v="5821"/>
    <n v="485.08333333333331"/>
    <n v="922.69618030120034"/>
    <n v="1.9021395230397533"/>
    <s v="Low Risk"/>
    <x v="0"/>
    <s v="100-200"/>
    <n v="0"/>
  </r>
  <r>
    <x v="142"/>
    <s v="Male"/>
    <s v="Yes"/>
    <n v="0"/>
    <s v="Graduate"/>
    <s v="No"/>
    <n v="5333"/>
    <n v="0"/>
    <n v="90"/>
    <n v="360"/>
    <n v="1"/>
    <s v="Rural"/>
    <n v="5333"/>
    <n v="444.41666666666669"/>
    <n v="692.02213522590023"/>
    <n v="1.5571471259536476"/>
    <s v="Low Risk"/>
    <x v="0"/>
    <s v="&lt;100"/>
    <n v="0"/>
  </r>
  <r>
    <x v="143"/>
    <s v="Male"/>
    <s v="No"/>
    <n v="0"/>
    <s v="Graduate"/>
    <s v="No"/>
    <n v="2875"/>
    <n v="2416"/>
    <n v="95"/>
    <n v="6"/>
    <n v="0"/>
    <s v="Semiurban"/>
    <n v="5291"/>
    <n v="440.91666666666669"/>
    <n v="16228.176862204025"/>
    <n v="36.805541929020656"/>
    <s v="High Risk"/>
    <x v="0"/>
    <s v="&lt;100"/>
    <n v="1"/>
  </r>
  <r>
    <x v="144"/>
    <s v="Male"/>
    <s v="Yes"/>
    <n v="2"/>
    <s v="Graduate"/>
    <s v="No"/>
    <n v="5041"/>
    <n v="700"/>
    <n v="150"/>
    <n v="360"/>
    <n v="1"/>
    <s v="Urban"/>
    <n v="5741"/>
    <n v="478.41666666666669"/>
    <n v="1153.3702253765005"/>
    <n v="2.4108069507956809"/>
    <s v="Low Risk"/>
    <x v="0"/>
    <s v="100-200"/>
    <n v="0"/>
  </r>
  <r>
    <x v="145"/>
    <s v="Male"/>
    <s v="Yes"/>
    <n v="3"/>
    <s v="Graduate"/>
    <s v="Yes"/>
    <n v="6958"/>
    <n v="1411"/>
    <n v="150"/>
    <n v="360"/>
    <n v="1"/>
    <s v="Rural"/>
    <n v="8369"/>
    <n v="697.41666666666663"/>
    <n v="1153.3702253765005"/>
    <n v="1.6537749676804883"/>
    <s v="Low Risk"/>
    <x v="0"/>
    <s v="100-200"/>
    <n v="0"/>
  </r>
  <r>
    <x v="146"/>
    <s v="Male"/>
    <s v="Yes"/>
    <n v="1"/>
    <s v="Graduate"/>
    <s v="No"/>
    <n v="3500"/>
    <n v="1658"/>
    <n v="104"/>
    <n v="360"/>
    <n v="0"/>
    <s v="Semiurban"/>
    <n v="5158"/>
    <n v="429.83333333333331"/>
    <n v="799.67002292770701"/>
    <n v="1.8604188203048633"/>
    <s v="High Risk"/>
    <x v="0"/>
    <s v="100-200"/>
    <n v="1"/>
  </r>
  <r>
    <x v="147"/>
    <s v="Male"/>
    <s v="Yes"/>
    <n v="0"/>
    <s v="Graduate"/>
    <s v="No"/>
    <n v="5509"/>
    <n v="0"/>
    <n v="143"/>
    <n v="360"/>
    <n v="1"/>
    <s v="Rural"/>
    <n v="5509"/>
    <n v="459.08333333333331"/>
    <n v="1099.5462815255971"/>
    <n v="2.3950908292443578"/>
    <s v="Low Risk"/>
    <x v="0"/>
    <s v="100-200"/>
    <n v="0"/>
  </r>
  <r>
    <x v="148"/>
    <s v="Male"/>
    <s v="Yes"/>
    <n v="3"/>
    <s v="Graduate"/>
    <s v="No"/>
    <n v="9699"/>
    <n v="0"/>
    <n v="300"/>
    <n v="360"/>
    <n v="1"/>
    <s v="Urban"/>
    <n v="9699"/>
    <n v="808.25"/>
    <n v="2306.7404507530009"/>
    <n v="2.8539937528648327"/>
    <s v="Low Risk"/>
    <x v="0"/>
    <s v="300-400"/>
    <n v="0"/>
  </r>
  <r>
    <x v="149"/>
    <s v="Female"/>
    <s v="Yes"/>
    <n v="1"/>
    <s v="Not Graduate"/>
    <s v="No"/>
    <n v="3621"/>
    <n v="2717"/>
    <n v="171"/>
    <n v="360"/>
    <n v="1"/>
    <s v="Urban"/>
    <n v="6338"/>
    <n v="528.16666666666663"/>
    <n v="1314.8420569292107"/>
    <n v="2.4894453586542329"/>
    <s v="Low Risk"/>
    <x v="0"/>
    <s v="100-200"/>
    <n v="0"/>
  </r>
  <r>
    <x v="150"/>
    <s v="Female"/>
    <s v="No"/>
    <n v="0"/>
    <s v="Not Graduate"/>
    <s v="No"/>
    <n v="3015"/>
    <n v="2000"/>
    <n v="145"/>
    <n v="360"/>
    <n v="0"/>
    <s v="Urban"/>
    <n v="5015"/>
    <n v="417.91666666666669"/>
    <n v="1114.9245511972838"/>
    <n v="2.6678154764441486"/>
    <s v="High Risk"/>
    <x v="0"/>
    <s v="100-200"/>
    <n v="1"/>
  </r>
  <r>
    <x v="151"/>
    <s v="Male"/>
    <s v="Yes"/>
    <n v="1"/>
    <s v="Graduate"/>
    <s v="Yes"/>
    <n v="2360"/>
    <n v="3355"/>
    <n v="87"/>
    <n v="240"/>
    <n v="1"/>
    <s v="Rural"/>
    <n v="5715"/>
    <n v="476.25"/>
    <n v="755.00621302801449"/>
    <n v="1.5853148829984556"/>
    <s v="Low Risk"/>
    <x v="0"/>
    <s v="&lt;100"/>
    <n v="0"/>
  </r>
  <r>
    <x v="152"/>
    <s v="Female"/>
    <s v="No"/>
    <n v="0"/>
    <s v="Graduate"/>
    <s v="No"/>
    <n v="4333"/>
    <n v="2333"/>
    <n v="162"/>
    <n v="360"/>
    <n v="0"/>
    <s v="Rural"/>
    <n v="6666"/>
    <n v="555.5"/>
    <n v="1245.6398434066205"/>
    <n v="2.2423759557274896"/>
    <s v="High Risk"/>
    <x v="0"/>
    <s v="100-200"/>
    <n v="1"/>
  </r>
  <r>
    <x v="153"/>
    <s v="Male"/>
    <s v="Yes"/>
    <n v="0"/>
    <s v="Graduate"/>
    <s v="Yes"/>
    <n v="2623"/>
    <n v="4831"/>
    <n v="122"/>
    <n v="180"/>
    <n v="1"/>
    <s v="Semiurban"/>
    <n v="7454"/>
    <n v="621.16666666666663"/>
    <n v="1201.3822606692238"/>
    <n v="1.934073937219035"/>
    <s v="Low Risk"/>
    <x v="0"/>
    <s v="100-200"/>
    <n v="0"/>
  </r>
  <r>
    <x v="154"/>
    <s v="Male"/>
    <s v="No"/>
    <n v="0"/>
    <s v="Graduate"/>
    <s v="Yes"/>
    <n v="3972"/>
    <n v="4275"/>
    <n v="187"/>
    <n v="360"/>
    <n v="1"/>
    <s v="Rural"/>
    <n v="8247"/>
    <n v="687.25"/>
    <n v="1437.8682143027038"/>
    <n v="2.0922054773411478"/>
    <s v="Low Risk"/>
    <x v="0"/>
    <s v="100-200"/>
    <n v="0"/>
  </r>
  <r>
    <x v="155"/>
    <s v="Male"/>
    <s v="No"/>
    <n v="0"/>
    <s v="Graduate"/>
    <s v="No"/>
    <n v="6858"/>
    <n v="0"/>
    <n v="176"/>
    <n v="360"/>
    <n v="1"/>
    <s v="Rural"/>
    <n v="6858"/>
    <n v="571.5"/>
    <n v="1353.2877311084274"/>
    <n v="2.3679575347479043"/>
    <s v="Low Risk"/>
    <x v="0"/>
    <s v="100-200"/>
    <n v="0"/>
  </r>
  <r>
    <x v="156"/>
    <s v="Male"/>
    <s v="Yes"/>
    <n v="3"/>
    <s v="Graduate"/>
    <s v="No"/>
    <n v="8334"/>
    <n v="0"/>
    <n v="260"/>
    <n v="360"/>
    <n v="1"/>
    <s v="Urban"/>
    <n v="8334"/>
    <n v="694.5"/>
    <n v="1999.1750573192676"/>
    <n v="2.8785817959960656"/>
    <s v="Low Risk"/>
    <x v="0"/>
    <s v="200-300"/>
    <n v="0"/>
  </r>
  <r>
    <x v="157"/>
    <s v="Male"/>
    <s v="Yes"/>
    <n v="0"/>
    <s v="Graduate"/>
    <s v="No"/>
    <n v="3391"/>
    <n v="1966"/>
    <n v="133"/>
    <n v="360"/>
    <n v="0"/>
    <s v="Rural"/>
    <n v="5357"/>
    <n v="446.41666666666669"/>
    <n v="1022.6549331671637"/>
    <n v="2.2908081385114736"/>
    <s v="High Risk"/>
    <x v="0"/>
    <s v="100-200"/>
    <n v="1"/>
  </r>
  <r>
    <x v="158"/>
    <s v="Male"/>
    <s v="Yes"/>
    <n v="2"/>
    <s v="Graduate"/>
    <s v="No"/>
    <n v="8667"/>
    <n v="0"/>
    <n v="254"/>
    <n v="360"/>
    <n v="1"/>
    <s v="Rural"/>
    <n v="8667"/>
    <n v="722.25"/>
    <n v="1953.0402483042074"/>
    <n v="2.7041055705146517"/>
    <s v="Low Risk"/>
    <x v="0"/>
    <s v="200-300"/>
    <n v="0"/>
  </r>
  <r>
    <x v="159"/>
    <s v="Male"/>
    <s v="Yes"/>
    <n v="0"/>
    <s v="Graduate"/>
    <s v="No"/>
    <n v="5817"/>
    <n v="910"/>
    <n v="109"/>
    <n v="360"/>
    <n v="1"/>
    <s v="Urban"/>
    <n v="6727"/>
    <n v="560.58333333333337"/>
    <n v="838.11569710692368"/>
    <n v="1.4950778006961623"/>
    <s v="Low Risk"/>
    <x v="0"/>
    <s v="100-200"/>
    <n v="0"/>
  </r>
  <r>
    <x v="160"/>
    <s v="Male"/>
    <s v="Yes"/>
    <n v="0"/>
    <s v="Graduate"/>
    <s v="No"/>
    <n v="5119"/>
    <n v="3769"/>
    <n v="120"/>
    <n v="360"/>
    <n v="1"/>
    <s v="Rural"/>
    <n v="8888"/>
    <n v="740.66666666666663"/>
    <n v="922.69618030120034"/>
    <n v="1.2457644198486053"/>
    <s v="Low Risk"/>
    <x v="0"/>
    <s v="100-200"/>
    <n v="0"/>
  </r>
  <r>
    <x v="161"/>
    <s v="Male"/>
    <s v="Yes"/>
    <n v="3"/>
    <s v="Not Graduate"/>
    <s v="No"/>
    <n v="5316"/>
    <n v="187"/>
    <n v="158"/>
    <n v="180"/>
    <n v="0"/>
    <s v="Semiurban"/>
    <n v="5503"/>
    <n v="458.58333333333331"/>
    <n v="1555.8885015224373"/>
    <n v="3.3928151950334815"/>
    <s v="High Risk"/>
    <x v="0"/>
    <s v="100-200"/>
    <n v="1"/>
  </r>
  <r>
    <x v="162"/>
    <s v="Male"/>
    <s v="Yes"/>
    <n v="3"/>
    <s v="Graduate"/>
    <s v="No"/>
    <n v="7603"/>
    <n v="1213"/>
    <n v="197"/>
    <n v="360"/>
    <n v="1"/>
    <s v="Urban"/>
    <n v="8816"/>
    <n v="734.66666666666663"/>
    <n v="1514.7595626611371"/>
    <n v="2.0618324355641615"/>
    <s v="Low Risk"/>
    <x v="0"/>
    <s v="100-200"/>
    <n v="0"/>
  </r>
  <r>
    <x v="163"/>
    <s v="Male"/>
    <s v="Yes"/>
    <n v="1"/>
    <s v="Graduate"/>
    <s v="No"/>
    <n v="3791"/>
    <n v="1936"/>
    <n v="85"/>
    <n v="360"/>
    <n v="1"/>
    <s v="Urban"/>
    <n v="5727"/>
    <n v="477.25"/>
    <n v="653.57646104668356"/>
    <n v="1.3694635118840934"/>
    <s v="Low Risk"/>
    <x v="0"/>
    <s v="&lt;100"/>
    <n v="0"/>
  </r>
  <r>
    <x v="164"/>
    <s v="Male"/>
    <s v="No"/>
    <n v="0"/>
    <s v="Graduate"/>
    <s v="No"/>
    <n v="4000"/>
    <n v="2667"/>
    <n v="152"/>
    <n v="360"/>
    <n v="1"/>
    <s v="Semiurban"/>
    <n v="6667"/>
    <n v="555.58333333333337"/>
    <n v="1168.7484950481871"/>
    <n v="2.1036421089812878"/>
    <s v="Low Risk"/>
    <x v="0"/>
    <s v="100-200"/>
    <n v="0"/>
  </r>
  <r>
    <x v="165"/>
    <s v="Male"/>
    <s v="Yes"/>
    <n v="3"/>
    <s v="Not Graduate"/>
    <s v="Yes"/>
    <n v="4009"/>
    <n v="1777"/>
    <n v="113"/>
    <n v="360"/>
    <n v="1"/>
    <s v="Urban"/>
    <n v="5786"/>
    <n v="482.16666666666669"/>
    <n v="868.87223645029701"/>
    <n v="1.8020163908405744"/>
    <s v="Low Risk"/>
    <x v="0"/>
    <s v="100-200"/>
    <n v="0"/>
  </r>
  <r>
    <x v="166"/>
    <s v="Male"/>
    <s v="No"/>
    <n v="0"/>
    <s v="Graduate"/>
    <s v="No"/>
    <n v="3250"/>
    <n v="1993"/>
    <n v="126"/>
    <n v="360"/>
    <n v="0"/>
    <s v="Semiurban"/>
    <n v="5243"/>
    <n v="436.91666666666669"/>
    <n v="968.83098931626046"/>
    <n v="2.217427402593005"/>
    <s v="High Risk"/>
    <x v="0"/>
    <s v="100-200"/>
    <n v="1"/>
  </r>
  <r>
    <x v="167"/>
    <s v="Male"/>
    <s v="Yes"/>
    <n v="0"/>
    <s v="Graduate"/>
    <s v="No"/>
    <n v="5000"/>
    <n v="2393"/>
    <n v="158"/>
    <n v="360"/>
    <n v="1"/>
    <s v="Rural"/>
    <n v="7393"/>
    <n v="616.08333333333337"/>
    <n v="1214.8833040632471"/>
    <n v="1.9719463883077186"/>
    <s v="Low Risk"/>
    <x v="0"/>
    <s v="100-200"/>
    <n v="0"/>
  </r>
  <r>
    <x v="168"/>
    <s v="Male"/>
    <s v="No"/>
    <n v="0"/>
    <s v="Graduate"/>
    <s v="Yes"/>
    <n v="9200"/>
    <n v="0"/>
    <n v="98"/>
    <n v="180"/>
    <n v="1"/>
    <s v="Rural"/>
    <n v="9200"/>
    <n v="766.66666666666663"/>
    <n v="965.04476676708134"/>
    <n v="1.2587540436092366"/>
    <s v="Low Risk"/>
    <x v="0"/>
    <s v="&lt;100"/>
    <n v="0"/>
  </r>
  <r>
    <x v="169"/>
    <s v="Male"/>
    <s v="No"/>
    <n v="0"/>
    <s v="Graduate"/>
    <s v="No"/>
    <n v="0"/>
    <n v="24000"/>
    <n v="148"/>
    <n v="360"/>
    <n v="0"/>
    <s v="Rural"/>
    <n v="24000"/>
    <n v="2000"/>
    <n v="1137.9919557048138"/>
    <n v="0.56899597785240685"/>
    <s v="High Risk"/>
    <x v="1"/>
    <s v="100-200"/>
    <n v="1"/>
  </r>
  <r>
    <x v="170"/>
    <s v="Male"/>
    <s v="Yes"/>
    <n v="0"/>
    <s v="Graduate"/>
    <s v="Yes"/>
    <n v="32000"/>
    <n v="0"/>
    <n v="550"/>
    <n v="360"/>
    <n v="0"/>
    <s v="Semiurban"/>
    <n v="32000"/>
    <n v="2666.6666666666665"/>
    <n v="4229.0241597138347"/>
    <n v="1.5858840598926882"/>
    <s v="High Risk"/>
    <x v="1"/>
    <s v="&gt;500"/>
    <n v="1"/>
  </r>
  <r>
    <x v="171"/>
    <s v="Male"/>
    <s v="No"/>
    <n v="0"/>
    <s v="Graduate"/>
    <s v="No"/>
    <n v="14911"/>
    <n v="14507"/>
    <n v="130"/>
    <n v="360"/>
    <n v="1"/>
    <s v="Semiurban"/>
    <n v="29418"/>
    <n v="2451.5"/>
    <n v="999.58752865963379"/>
    <n v="0.40774526969595504"/>
    <s v="Low Risk"/>
    <x v="1"/>
    <s v="100-200"/>
    <n v="0"/>
  </r>
  <r>
    <x v="172"/>
    <s v="Male"/>
    <s v="Yes"/>
    <n v="2"/>
    <s v="Not Graduate"/>
    <s v="No"/>
    <n v="6166"/>
    <n v="13983"/>
    <n v="102"/>
    <n v="360"/>
    <n v="1"/>
    <s v="Rural"/>
    <n v="20149"/>
    <n v="1679.0833333333333"/>
    <n v="784.29175325602023"/>
    <n v="0.46709519276749434"/>
    <s v="Low Risk"/>
    <x v="1"/>
    <s v="100-200"/>
    <n v="0"/>
  </r>
  <r>
    <x v="173"/>
    <s v="Male"/>
    <s v="No"/>
    <n v="1"/>
    <s v="Graduate"/>
    <s v="No"/>
    <n v="24797"/>
    <n v="0"/>
    <n v="240"/>
    <n v="360"/>
    <n v="1"/>
    <s v="Semiurban"/>
    <n v="24797"/>
    <n v="2066.4166666666665"/>
    <n v="1845.3923606024007"/>
    <n v="0.89303981639830665"/>
    <s v="Low Risk"/>
    <x v="1"/>
    <s v="200-300"/>
    <n v="0"/>
  </r>
  <r>
    <x v="174"/>
    <s v="Male"/>
    <s v="No"/>
    <n v="0"/>
    <s v="Graduate"/>
    <s v="No"/>
    <n v="29167"/>
    <n v="0"/>
    <n v="185"/>
    <n v="360"/>
    <n v="1"/>
    <s v="Semiurban"/>
    <n v="29167"/>
    <n v="2430.5833333333335"/>
    <n v="1422.4899446310171"/>
    <n v="0.58524631726170684"/>
    <s v="Low Risk"/>
    <x v="1"/>
    <s v="100-200"/>
    <n v="0"/>
  </r>
  <r>
    <x v="175"/>
    <s v="Female"/>
    <s v="Yes"/>
    <n v="2"/>
    <s v="Graduate"/>
    <s v="No"/>
    <n v="10000"/>
    <n v="11666"/>
    <n v="460"/>
    <n v="360"/>
    <n v="1"/>
    <s v="Urban"/>
    <n v="21666"/>
    <n v="1805.5"/>
    <n v="3537.0020244879347"/>
    <n v="1.95901524480085"/>
    <s v="Low Risk"/>
    <x v="1"/>
    <s v="400-500"/>
    <n v="0"/>
  </r>
  <r>
    <x v="176"/>
    <s v="Male"/>
    <s v="No"/>
    <n v="1"/>
    <s v="Graduate"/>
    <s v="No"/>
    <n v="16000"/>
    <n v="5000"/>
    <n v="40"/>
    <n v="360"/>
    <n v="1"/>
    <s v="Semiurban"/>
    <n v="21000"/>
    <n v="1750"/>
    <n v="307.56539343373345"/>
    <n v="0.17575165339070484"/>
    <s v="Low Risk"/>
    <x v="1"/>
    <s v="&lt;100"/>
    <n v="0"/>
  </r>
  <r>
    <x v="177"/>
    <s v="Male"/>
    <s v="Yes"/>
    <n v="2"/>
    <s v="Graduate"/>
    <s v="No"/>
    <n v="13633"/>
    <n v="0"/>
    <n v="280"/>
    <n v="240"/>
    <n v="1"/>
    <s v="Urban"/>
    <n v="13633"/>
    <n v="1136.0833333333333"/>
    <n v="2429.9050534234952"/>
    <n v="2.1388440285397157"/>
    <s v="Low Risk"/>
    <x v="2"/>
    <s v="200-300"/>
    <n v="0"/>
  </r>
  <r>
    <x v="178"/>
    <s v="Male"/>
    <s v="Yes"/>
    <n v="2"/>
    <s v="Graduate"/>
    <s v="No"/>
    <n v="12173"/>
    <n v="0"/>
    <n v="166"/>
    <n v="360"/>
    <n v="0"/>
    <s v="Semiurban"/>
    <n v="12173"/>
    <n v="1014.4166666666666"/>
    <n v="1276.3963827499938"/>
    <n v="1.2582565179495544"/>
    <s v="High Risk"/>
    <x v="2"/>
    <s v="100-200"/>
    <n v="1"/>
  </r>
  <r>
    <x v="179"/>
    <s v="Male"/>
    <s v="Yes"/>
    <n v="0"/>
    <s v="Graduate"/>
    <s v="No"/>
    <n v="9226"/>
    <n v="7916"/>
    <n v="300"/>
    <n v="360"/>
    <n v="1"/>
    <s v="Urban"/>
    <n v="17142"/>
    <n v="1428.5"/>
    <n v="2306.7404507530009"/>
    <n v="1.6147990554798746"/>
    <s v="Low Risk"/>
    <x v="2"/>
    <s v="300-400"/>
    <n v="0"/>
  </r>
  <r>
    <x v="180"/>
    <s v="Male"/>
    <s v="Yes"/>
    <n v="0"/>
    <s v="Graduate"/>
    <s v="No"/>
    <n v="7500"/>
    <n v="3750"/>
    <n v="275"/>
    <n v="360"/>
    <n v="1"/>
    <s v="Urban"/>
    <n v="11250"/>
    <n v="937.5"/>
    <n v="2114.5120798569174"/>
    <n v="2.2554795518473787"/>
    <s v="Low Risk"/>
    <x v="2"/>
    <s v="200-300"/>
    <n v="0"/>
  </r>
  <r>
    <x v="181"/>
    <s v="Male"/>
    <s v="Yes"/>
    <n v="2"/>
    <s v="Graduate"/>
    <s v="No"/>
    <n v="7350"/>
    <n v="4029"/>
    <n v="185"/>
    <n v="180"/>
    <n v="1"/>
    <s v="Urban"/>
    <n v="11379"/>
    <n v="948.25"/>
    <n v="1821.7681821623476"/>
    <n v="1.9211897518189798"/>
    <s v="Low Risk"/>
    <x v="2"/>
    <s v="100-200"/>
    <n v="0"/>
  </r>
  <r>
    <x v="182"/>
    <s v="Male"/>
    <s v="No"/>
    <n v="0"/>
    <s v="Graduate"/>
    <s v="No"/>
    <n v="6792"/>
    <n v="3338"/>
    <n v="187"/>
    <n v="360"/>
    <n v="1"/>
    <s v="Urban"/>
    <n v="10130"/>
    <n v="844.16666666666663"/>
    <n v="1437.8682143027038"/>
    <n v="1.7032989705461448"/>
    <s v="Low Risk"/>
    <x v="2"/>
    <s v="100-200"/>
    <n v="0"/>
  </r>
  <r>
    <x v="183"/>
    <s v="Male"/>
    <s v="Yes"/>
    <n v="2"/>
    <s v="Graduate"/>
    <s v="No"/>
    <n v="4635"/>
    <n v="8000"/>
    <n v="102"/>
    <n v="180"/>
    <n v="1"/>
    <s v="Rural"/>
    <n v="12635"/>
    <n v="1052.9166666666667"/>
    <n v="1004.4343490841051"/>
    <n v="0.95395426901537472"/>
    <s v="Low Risk"/>
    <x v="2"/>
    <s v="100-200"/>
    <n v="0"/>
  </r>
  <r>
    <x v="184"/>
    <s v="Male"/>
    <s v="Yes"/>
    <n v="3"/>
    <s v="Graduate"/>
    <s v="No"/>
    <n v="13518"/>
    <n v="0"/>
    <n v="390"/>
    <n v="360"/>
    <n v="1"/>
    <s v="Rural"/>
    <n v="13518"/>
    <n v="1126.5"/>
    <n v="2998.7625859789014"/>
    <n v="2.6620173865769208"/>
    <s v="Low Risk"/>
    <x v="2"/>
    <s v="300-400"/>
    <n v="0"/>
  </r>
  <r>
    <x v="185"/>
    <s v="Female"/>
    <s v="No"/>
    <n v="0"/>
    <s v="Graduate"/>
    <s v="No"/>
    <n v="12500"/>
    <n v="0"/>
    <n v="300"/>
    <n v="360"/>
    <n v="0"/>
    <s v="Urban"/>
    <n v="12500"/>
    <n v="1041.6666666666667"/>
    <n v="2306.7404507530009"/>
    <n v="2.2144708327228808"/>
    <s v="High Risk"/>
    <x v="2"/>
    <s v="300-400"/>
    <n v="1"/>
  </r>
  <r>
    <x v="186"/>
    <s v="Male"/>
    <s v="Yes"/>
    <n v="2"/>
    <s v="Graduate"/>
    <s v="Yes"/>
    <n v="10890"/>
    <n v="0"/>
    <n v="260"/>
    <n v="12"/>
    <n v="1"/>
    <s v="Rural"/>
    <n v="10890"/>
    <n v="907.5"/>
    <n v="22677.143439624109"/>
    <n v="24.988587812257972"/>
    <s v="Low Risk"/>
    <x v="2"/>
    <s v="200-300"/>
    <n v="0"/>
  </r>
  <r>
    <x v="187"/>
    <s v="Female"/>
    <s v="No"/>
    <n v="0"/>
    <s v="Graduate"/>
    <s v="No"/>
    <n v="12941"/>
    <n v="0"/>
    <n v="150"/>
    <n v="300"/>
    <n v="1"/>
    <s v="Urban"/>
    <n v="12941"/>
    <n v="1078.4166666666667"/>
    <n v="1207.840625193197"/>
    <n v="1.1200129435374671"/>
    <s v="Low Risk"/>
    <x v="2"/>
    <s v="100-200"/>
    <n v="0"/>
  </r>
  <r>
    <x v="188"/>
    <s v="Male"/>
    <s v="Yes"/>
    <n v="3"/>
    <s v="Graduate"/>
    <s v="No"/>
    <n v="15312"/>
    <n v="0"/>
    <n v="187"/>
    <n v="360"/>
    <n v="0"/>
    <s v="Urban"/>
    <n v="15312"/>
    <n v="1276"/>
    <n v="1437.8682143027038"/>
    <n v="1.1268559673218681"/>
    <s v="High Risk"/>
    <x v="2"/>
    <s v="100-200"/>
    <n v="1"/>
  </r>
  <r>
    <x v="189"/>
    <s v="Male"/>
    <s v="Yes"/>
    <n v="3"/>
    <s v="Graduate"/>
    <s v="No"/>
    <n v="10166"/>
    <n v="750"/>
    <n v="150"/>
    <n v="360"/>
    <n v="1"/>
    <s v="Urban"/>
    <n v="10916"/>
    <n v="909.66666666666663"/>
    <n v="1153.3702253765005"/>
    <n v="1.2679042418942841"/>
    <s v="Low Risk"/>
    <x v="2"/>
    <s v="100-200"/>
    <n v="0"/>
  </r>
  <r>
    <x v="190"/>
    <s v="Male"/>
    <s v="Yes"/>
    <n v="0"/>
    <s v="Not Graduate"/>
    <s v="No"/>
    <n v="13083"/>
    <n v="0"/>
    <n v="125"/>
    <n v="360"/>
    <n v="1"/>
    <s v="Rural"/>
    <n v="13083"/>
    <n v="1090.25"/>
    <n v="961.14185448041712"/>
    <n v="0.88157932078002033"/>
    <s v="Low Risk"/>
    <x v="2"/>
    <s v="100-200"/>
    <n v="0"/>
  </r>
  <r>
    <x v="191"/>
    <s v="Male"/>
    <s v="Yes"/>
    <n v="2"/>
    <s v="Graduate"/>
    <s v="No"/>
    <n v="7874"/>
    <n v="3967"/>
    <n v="336"/>
    <n v="360"/>
    <n v="1"/>
    <s v="Rural"/>
    <n v="11841"/>
    <n v="986.75"/>
    <n v="2583.5493048433609"/>
    <n v="2.6182409980677588"/>
    <s v="Low Risk"/>
    <x v="2"/>
    <s v="300-400"/>
    <n v="0"/>
  </r>
  <r>
    <x v="192"/>
    <s v="Male"/>
    <s v="Yes"/>
    <n v="1"/>
    <s v="Graduate"/>
    <s v="No"/>
    <n v="10000"/>
    <n v="2690"/>
    <n v="412"/>
    <n v="360"/>
    <n v="1"/>
    <s v="Semiurban"/>
    <n v="12690"/>
    <n v="1057.5"/>
    <n v="3167.9235523674547"/>
    <n v="2.9956723899455837"/>
    <s v="Low Risk"/>
    <x v="2"/>
    <s v="400-500"/>
    <n v="0"/>
  </r>
  <r>
    <x v="193"/>
    <s v="Male"/>
    <s v="Yes"/>
    <n v="0"/>
    <s v="Graduate"/>
    <s v="No"/>
    <n v="7830"/>
    <n v="2183"/>
    <n v="212"/>
    <n v="360"/>
    <n v="1"/>
    <s v="Rural"/>
    <n v="10013"/>
    <n v="834.41666666666663"/>
    <n v="1630.0965851987874"/>
    <n v="1.9535762531095024"/>
    <s v="Low Risk"/>
    <x v="2"/>
    <s v="200-300"/>
    <n v="0"/>
  </r>
  <r>
    <x v="194"/>
    <s v="Male"/>
    <s v="Yes"/>
    <n v="0"/>
    <s v="Graduate"/>
    <s v="No"/>
    <n v="10000"/>
    <n v="0"/>
    <n v="125"/>
    <n v="360"/>
    <n v="1"/>
    <s v="Urban"/>
    <n v="10000"/>
    <n v="833.33333333333337"/>
    <n v="961.14185448041712"/>
    <n v="1.1533702253765006"/>
    <s v="Low Risk"/>
    <x v="2"/>
    <s v="100-200"/>
    <n v="0"/>
  </r>
  <r>
    <x v="195"/>
    <s v="Male"/>
    <s v="Yes"/>
    <n v="1"/>
    <s v="Graduate"/>
    <s v="No"/>
    <n v="18840"/>
    <n v="0"/>
    <n v="234"/>
    <n v="360"/>
    <n v="1"/>
    <s v="Rural"/>
    <n v="18840"/>
    <n v="1570"/>
    <n v="1799.2575515873407"/>
    <n v="1.1460239182084972"/>
    <s v="Low Risk"/>
    <x v="2"/>
    <s v="200-300"/>
    <n v="0"/>
  </r>
  <r>
    <x v="196"/>
    <s v="Male"/>
    <s v="Yes"/>
    <n v="1"/>
    <s v="Graduate"/>
    <s v="No"/>
    <n v="8333"/>
    <n v="4000"/>
    <n v="125"/>
    <n v="360"/>
    <n v="1"/>
    <s v="Urban"/>
    <n v="12333"/>
    <n v="1027.75"/>
    <n v="961.14185448041712"/>
    <n v="0.93519032301670357"/>
    <s v="Low Risk"/>
    <x v="2"/>
    <s v="100-200"/>
    <n v="0"/>
  </r>
  <r>
    <x v="197"/>
    <s v="Female"/>
    <s v="No"/>
    <n v="0"/>
    <s v="Graduate"/>
    <s v="Yes"/>
    <n v="14987"/>
    <n v="0"/>
    <n v="177"/>
    <n v="360"/>
    <n v="1"/>
    <s v="Rural"/>
    <n v="14987"/>
    <n v="1248.9166666666667"/>
    <n v="1360.9768659442707"/>
    <n v="1.0897259218877191"/>
    <s v="Low Risk"/>
    <x v="2"/>
    <s v="100-200"/>
    <n v="0"/>
  </r>
  <r>
    <x v="198"/>
    <s v="Male"/>
    <s v="No"/>
    <n v="0"/>
    <s v="Graduate"/>
    <s v="No"/>
    <n v="2283"/>
    <n v="15000"/>
    <n v="106"/>
    <n v="360"/>
    <n v="0"/>
    <s v="Rural"/>
    <n v="17283"/>
    <n v="1440.25"/>
    <n v="815.04829259939368"/>
    <n v="0.56590751091782232"/>
    <s v="High Risk"/>
    <x v="2"/>
    <s v="100-200"/>
    <n v="1"/>
  </r>
  <r>
    <x v="199"/>
    <s v="Female"/>
    <s v="Yes"/>
    <n v="0"/>
    <s v="Graduate"/>
    <s v="No"/>
    <n v="8550"/>
    <n v="4255"/>
    <n v="96"/>
    <n v="360"/>
    <n v="0"/>
    <s v="Urban"/>
    <n v="12805"/>
    <n v="1067.0833333333333"/>
    <n v="738.15694424096023"/>
    <n v="0.69175191963229388"/>
    <s v="High Risk"/>
    <x v="2"/>
    <s v="&lt;100"/>
    <n v="1"/>
  </r>
  <r>
    <x v="200"/>
    <s v="Male"/>
    <s v="Yes"/>
    <n v="3"/>
    <s v="Graduate"/>
    <s v="No"/>
    <n v="72529"/>
    <n v="0"/>
    <n v="360"/>
    <n v="360"/>
    <n v="1"/>
    <s v="Urban"/>
    <n v="72529"/>
    <n v="6044.083333333333"/>
    <n v="2768.0885409036009"/>
    <n v="0.45798318590968046"/>
    <s v="Low Risk"/>
    <x v="3"/>
    <s v="300-400"/>
    <n v="0"/>
  </r>
  <r>
    <x v="201"/>
    <s v="Male"/>
    <s v="Yes"/>
    <n v="1"/>
    <s v="Graduate"/>
    <s v="No"/>
    <n v="3076"/>
    <n v="1500"/>
    <n v="126"/>
    <n v="360"/>
    <n v="1"/>
    <s v="Urban"/>
    <n v="4576"/>
    <n v="381.33333333333331"/>
    <n v="968.83098931626046"/>
    <n v="2.5406407062489347"/>
    <s v="Low Risk"/>
    <x v="4"/>
    <s v="100-200"/>
    <n v="0"/>
  </r>
  <r>
    <x v="202"/>
    <s v="Male"/>
    <s v="Yes"/>
    <n v="2"/>
    <s v="Graduate"/>
    <s v="No"/>
    <n v="2340"/>
    <n v="2546"/>
    <n v="100"/>
    <n v="360"/>
    <n v="0"/>
    <s v="Urban"/>
    <n v="4886"/>
    <n v="407.16666666666669"/>
    <n v="768.91348358433368"/>
    <n v="1.8884489977511265"/>
    <s v="High Risk"/>
    <x v="4"/>
    <s v="100-200"/>
    <n v="1"/>
  </r>
  <r>
    <x v="203"/>
    <s v="Male"/>
    <s v="No"/>
    <n v="0"/>
    <s v="Not Graduate"/>
    <s v="No"/>
    <n v="3276"/>
    <n v="0"/>
    <n v="78"/>
    <n v="360"/>
    <n v="1"/>
    <s v="Urban"/>
    <n v="3276"/>
    <n v="273"/>
    <n v="599.75251719578023"/>
    <n v="2.1968956673838105"/>
    <s v="Low Risk"/>
    <x v="4"/>
    <s v="&lt;100"/>
    <n v="0"/>
  </r>
  <r>
    <x v="204"/>
    <s v="Female"/>
    <s v="No"/>
    <n v="1"/>
    <s v="Not Graduate"/>
    <s v="No"/>
    <n v="2226"/>
    <n v="0"/>
    <n v="59"/>
    <n v="360"/>
    <n v="1"/>
    <s v="Semiurban"/>
    <n v="2226"/>
    <n v="185.5"/>
    <n v="453.65895531475684"/>
    <n v="2.4456008372763174"/>
    <s v="Low Risk"/>
    <x v="4"/>
    <s v="&lt;100"/>
    <n v="0"/>
  </r>
  <r>
    <x v="205"/>
    <s v="Male"/>
    <s v="Yes"/>
    <n v="2"/>
    <s v="Not Graduate"/>
    <s v="No"/>
    <n v="3881"/>
    <n v="0"/>
    <n v="147"/>
    <n v="360"/>
    <n v="0"/>
    <s v="Rural"/>
    <n v="3881"/>
    <n v="323.41666666666669"/>
    <n v="1130.3028208689702"/>
    <n v="3.4948811776417528"/>
    <s v="High Risk"/>
    <x v="4"/>
    <s v="100-200"/>
    <n v="1"/>
  </r>
  <r>
    <x v="206"/>
    <s v="Male"/>
    <s v="No"/>
    <n v="0"/>
    <s v="Not Graduate"/>
    <s v="No"/>
    <n v="2400"/>
    <n v="2400"/>
    <n v="123"/>
    <n v="360"/>
    <n v="1"/>
    <s v="Semiurban"/>
    <n v="4800"/>
    <n v="400"/>
    <n v="945.76358480873034"/>
    <n v="2.3644089620218258"/>
    <s v="Low Risk"/>
    <x v="4"/>
    <s v="100-200"/>
    <n v="0"/>
  </r>
  <r>
    <x v="207"/>
    <s v="Male"/>
    <s v="No"/>
    <n v="0"/>
    <s v="Not Graduate"/>
    <s v="No"/>
    <n v="3091"/>
    <n v="0"/>
    <n v="90"/>
    <n v="360"/>
    <n v="1"/>
    <s v="Urban"/>
    <n v="3091"/>
    <n v="257.58333333333331"/>
    <n v="692.02213522590023"/>
    <n v="2.6865951545489497"/>
    <s v="Low Risk"/>
    <x v="4"/>
    <s v="&lt;100"/>
    <n v="0"/>
  </r>
  <r>
    <x v="208"/>
    <s v="Male"/>
    <s v="Yes"/>
    <n v="1"/>
    <s v="Graduate"/>
    <s v="No"/>
    <n v="2185"/>
    <n v="1516"/>
    <n v="162"/>
    <n v="360"/>
    <n v="1"/>
    <s v="Semiurban"/>
    <n v="3701"/>
    <n v="308.41666666666669"/>
    <n v="1245.6398434066205"/>
    <n v="4.0388214322830169"/>
    <s v="Low Risk"/>
    <x v="4"/>
    <s v="100-200"/>
    <n v="0"/>
  </r>
  <r>
    <x v="209"/>
    <s v="Male"/>
    <s v="No"/>
    <n v="3"/>
    <s v="Graduate"/>
    <s v="No"/>
    <n v="4166"/>
    <n v="0"/>
    <n v="40"/>
    <n v="180"/>
    <n v="0"/>
    <s v="Urban"/>
    <n v="4166"/>
    <n v="347.16666666666669"/>
    <n v="393.89582317023729"/>
    <n v="1.1346015069713988"/>
    <s v="High Risk"/>
    <x v="4"/>
    <s v="&lt;100"/>
    <n v="1"/>
  </r>
  <r>
    <x v="210"/>
    <s v="Female"/>
    <s v="No"/>
    <n v="0"/>
    <s v="Graduate"/>
    <s v="No"/>
    <n v="4666"/>
    <n v="0"/>
    <n v="124"/>
    <n v="360"/>
    <n v="1"/>
    <s v="Semiurban"/>
    <n v="4666"/>
    <n v="388.83333333333331"/>
    <n v="953.45271964457379"/>
    <n v="2.4520858627807298"/>
    <s v="Low Risk"/>
    <x v="4"/>
    <s v="100-200"/>
    <n v="0"/>
  </r>
  <r>
    <x v="211"/>
    <s v="Male"/>
    <s v="Yes"/>
    <n v="3"/>
    <s v="Graduate"/>
    <s v="No"/>
    <n v="3786"/>
    <n v="333"/>
    <n v="126"/>
    <n v="360"/>
    <n v="1"/>
    <s v="Semiurban"/>
    <n v="4119"/>
    <n v="343.25"/>
    <n v="968.83098931626046"/>
    <n v="2.8225229113365198"/>
    <s v="Low Risk"/>
    <x v="4"/>
    <s v="100-200"/>
    <n v="0"/>
  </r>
  <r>
    <x v="212"/>
    <s v="Male"/>
    <s v="No"/>
    <n v="0"/>
    <s v="Graduate"/>
    <s v="No"/>
    <n v="1300"/>
    <n v="3470"/>
    <n v="100"/>
    <n v="180"/>
    <n v="1"/>
    <s v="Semiurban"/>
    <n v="4770"/>
    <n v="397.5"/>
    <n v="984.7395579255932"/>
    <n v="2.4773322211964608"/>
    <s v="Low Risk"/>
    <x v="4"/>
    <s v="100-200"/>
    <n v="0"/>
  </r>
  <r>
    <x v="213"/>
    <s v="Male"/>
    <s v="Yes"/>
    <n v="1"/>
    <s v="Not Graduate"/>
    <s v="No"/>
    <n v="1888"/>
    <n v="1620"/>
    <n v="48"/>
    <n v="360"/>
    <n v="1"/>
    <s v="Urban"/>
    <n v="3508"/>
    <n v="292.33333333333331"/>
    <n v="369.07847212048011"/>
    <n v="1.2625261304007303"/>
    <s v="Low Risk"/>
    <x v="4"/>
    <s v="&lt;100"/>
    <n v="0"/>
  </r>
  <r>
    <x v="214"/>
    <s v="Female"/>
    <s v="No"/>
    <n v="3"/>
    <s v="Not Graduate"/>
    <s v="No"/>
    <n v="2083"/>
    <n v="0"/>
    <n v="28"/>
    <n v="180"/>
    <n v="1"/>
    <s v="Urban"/>
    <n v="2083"/>
    <n v="173.58333333333334"/>
    <n v="275.72707621916612"/>
    <n v="1.5884421097599584"/>
    <s v="Low Risk"/>
    <x v="4"/>
    <s v="&lt;100"/>
    <n v="0"/>
  </r>
  <r>
    <x v="215"/>
    <s v="Male"/>
    <s v="No"/>
    <n v="0"/>
    <s v="Graduate"/>
    <s v="No"/>
    <n v="3909"/>
    <n v="0"/>
    <n v="101"/>
    <n v="360"/>
    <n v="1"/>
    <s v="Urban"/>
    <n v="3909"/>
    <n v="325.75"/>
    <n v="776.60261842017701"/>
    <n v="2.3840448761939435"/>
    <s v="Low Risk"/>
    <x v="4"/>
    <s v="100-200"/>
    <n v="0"/>
  </r>
  <r>
    <x v="216"/>
    <s v="Female"/>
    <s v="No"/>
    <n v="0"/>
    <s v="Not Graduate"/>
    <s v="No"/>
    <n v="3765"/>
    <n v="0"/>
    <n v="125"/>
    <n v="360"/>
    <n v="1"/>
    <s v="Urban"/>
    <n v="3765"/>
    <n v="313.75"/>
    <n v="961.14185448041712"/>
    <n v="3.0634003330053137"/>
    <s v="Low Risk"/>
    <x v="4"/>
    <s v="100-200"/>
    <n v="0"/>
  </r>
  <r>
    <x v="217"/>
    <s v="Male"/>
    <s v="Yes"/>
    <n v="0"/>
    <s v="Graduate"/>
    <s v="No"/>
    <n v="3772"/>
    <n v="833"/>
    <n v="57"/>
    <n v="360"/>
    <n v="0"/>
    <s v="Semiurban"/>
    <n v="4605"/>
    <n v="383.75"/>
    <n v="438.28068564307017"/>
    <n v="1.1420995065617463"/>
    <s v="High Risk"/>
    <x v="4"/>
    <s v="&lt;100"/>
    <n v="1"/>
  </r>
  <r>
    <x v="218"/>
    <s v="Female"/>
    <s v="No"/>
    <n v="0"/>
    <s v="Not Graduate"/>
    <s v="No"/>
    <n v="2478"/>
    <n v="0"/>
    <n v="75"/>
    <n v="360"/>
    <n v="1"/>
    <s v="Semiurban"/>
    <n v="2478"/>
    <n v="206.5"/>
    <n v="576.68511268825023"/>
    <n v="2.7926639839624707"/>
    <s v="Low Risk"/>
    <x v="4"/>
    <s v="&lt;100"/>
    <n v="0"/>
  </r>
  <r>
    <x v="219"/>
    <s v="Male"/>
    <s v="No"/>
    <n v="0"/>
    <s v="Graduate"/>
    <s v="No"/>
    <n v="3268"/>
    <n v="1683"/>
    <n v="152"/>
    <n v="360"/>
    <n v="1"/>
    <s v="Semiurban"/>
    <n v="4951"/>
    <n v="412.58333333333331"/>
    <n v="1168.7484950481871"/>
    <n v="2.8327574107409101"/>
    <s v="Low Risk"/>
    <x v="4"/>
    <s v="100-200"/>
    <n v="0"/>
  </r>
  <r>
    <x v="220"/>
    <s v="Male"/>
    <s v="Yes"/>
    <n v="0"/>
    <s v="Graduate"/>
    <s v="No"/>
    <n v="2740"/>
    <n v="1541"/>
    <n v="101"/>
    <n v="360"/>
    <n v="1"/>
    <s v="Urban"/>
    <n v="4281"/>
    <n v="356.75"/>
    <n v="776.60261842017701"/>
    <n v="2.176881901668331"/>
    <s v="Low Risk"/>
    <x v="4"/>
    <s v="100-200"/>
    <n v="0"/>
  </r>
  <r>
    <x v="221"/>
    <s v="Male"/>
    <s v="No"/>
    <n v="0"/>
    <s v="Graduate"/>
    <s v="No"/>
    <n v="3150"/>
    <n v="0"/>
    <n v="176"/>
    <n v="360"/>
    <n v="0"/>
    <s v="Semiurban"/>
    <n v="3150"/>
    <n v="262.5"/>
    <n v="1353.2877311084274"/>
    <n v="5.1553818327940091"/>
    <s v="High Risk"/>
    <x v="4"/>
    <s v="100-200"/>
    <n v="1"/>
  </r>
  <r>
    <x v="222"/>
    <s v="Female"/>
    <s v="No"/>
    <n v="0"/>
    <s v="Graduate"/>
    <s v="No"/>
    <n v="3644"/>
    <n v="0"/>
    <n v="110"/>
    <n v="360"/>
    <n v="1"/>
    <s v="Urban"/>
    <n v="3644"/>
    <n v="303.66666666666669"/>
    <n v="845.80483194276701"/>
    <n v="2.7853068011287605"/>
    <s v="Low Risk"/>
    <x v="4"/>
    <s v="100-200"/>
    <n v="0"/>
  </r>
  <r>
    <x v="223"/>
    <s v="Male"/>
    <s v="Yes"/>
    <n v="0"/>
    <s v="Not Graduate"/>
    <s v="No"/>
    <n v="1750"/>
    <n v="2024"/>
    <n v="90"/>
    <n v="360"/>
    <n v="1"/>
    <s v="Semiurban"/>
    <n v="3774"/>
    <n v="314.5"/>
    <n v="692.02213522590023"/>
    <n v="2.2003883473001595"/>
    <s v="Low Risk"/>
    <x v="4"/>
    <s v="&lt;100"/>
    <n v="0"/>
  </r>
  <r>
    <x v="224"/>
    <s v="Female"/>
    <s v="No"/>
    <n v="0"/>
    <s v="Graduate"/>
    <s v="No"/>
    <n v="3666"/>
    <n v="0"/>
    <n v="84"/>
    <n v="360"/>
    <n v="1"/>
    <s v="Urban"/>
    <n v="3666"/>
    <n v="305.5"/>
    <n v="645.88732621084023"/>
    <n v="2.114197467138593"/>
    <s v="Low Risk"/>
    <x v="4"/>
    <s v="&lt;100"/>
    <n v="0"/>
  </r>
  <r>
    <x v="225"/>
    <s v="Male"/>
    <s v="No"/>
    <n v="0"/>
    <s v="Not Graduate"/>
    <s v="No"/>
    <n v="2356"/>
    <n v="1902"/>
    <n v="108"/>
    <n v="360"/>
    <n v="1"/>
    <s v="Semiurban"/>
    <n v="4258"/>
    <n v="354.83333333333331"/>
    <n v="830.42656227108023"/>
    <n v="2.3403284986502966"/>
    <s v="Low Risk"/>
    <x v="4"/>
    <s v="100-200"/>
    <n v="0"/>
  </r>
  <r>
    <x v="226"/>
    <s v="Male"/>
    <s v="Yes"/>
    <n v="1"/>
    <s v="Graduate"/>
    <s v="No"/>
    <n v="2419"/>
    <n v="1707"/>
    <n v="124"/>
    <n v="360"/>
    <n v="1"/>
    <s v="Urban"/>
    <n v="4126"/>
    <n v="343.83333333333331"/>
    <n v="953.45271964457379"/>
    <n v="2.7730083945067587"/>
    <s v="Low Risk"/>
    <x v="4"/>
    <s v="100-200"/>
    <n v="0"/>
  </r>
  <r>
    <x v="227"/>
    <s v="Male"/>
    <s v="Yes"/>
    <n v="3"/>
    <s v="Not Graduate"/>
    <s v="No"/>
    <n v="3500"/>
    <n v="833"/>
    <n v="120"/>
    <n v="360"/>
    <n v="1"/>
    <s v="Semiurban"/>
    <n v="4333"/>
    <n v="361.08333333333331"/>
    <n v="922.69618030120034"/>
    <n v="2.5553552189278572"/>
    <s v="Low Risk"/>
    <x v="4"/>
    <s v="100-200"/>
    <n v="0"/>
  </r>
  <r>
    <x v="228"/>
    <s v="Male"/>
    <s v="No"/>
    <n v="0"/>
    <s v="Graduate"/>
    <s v="No"/>
    <n v="2750"/>
    <n v="0"/>
    <n v="130"/>
    <n v="360"/>
    <n v="0"/>
    <s v="Urban"/>
    <n v="2750"/>
    <n v="229.16666666666666"/>
    <n v="999.58752865963379"/>
    <n v="4.3618364886965839"/>
    <s v="High Risk"/>
    <x v="4"/>
    <s v="100-200"/>
    <n v="1"/>
  </r>
  <r>
    <x v="229"/>
    <s v="Female"/>
    <s v="No"/>
    <n v="0"/>
    <s v="Not Graduate"/>
    <s v="No"/>
    <n v="4402"/>
    <n v="0"/>
    <n v="130"/>
    <n v="360"/>
    <n v="1"/>
    <s v="Rural"/>
    <n v="4402"/>
    <n v="366.83333333333331"/>
    <n v="999.58752865963379"/>
    <n v="2.7249092103397561"/>
    <s v="Low Risk"/>
    <x v="4"/>
    <s v="100-200"/>
    <n v="0"/>
  </r>
  <r>
    <x v="230"/>
    <s v="Male"/>
    <s v="Yes"/>
    <n v="3"/>
    <s v="Graduate"/>
    <s v="No"/>
    <n v="4720"/>
    <n v="0"/>
    <n v="90"/>
    <n v="180"/>
    <n v="1"/>
    <s v="Semiurban"/>
    <n v="4720"/>
    <n v="393.33333333333331"/>
    <n v="886.26560213303389"/>
    <n v="2.2532176325416118"/>
    <s v="Low Risk"/>
    <x v="4"/>
    <s v="&lt;100"/>
    <n v="0"/>
  </r>
  <r>
    <x v="231"/>
    <s v="Male"/>
    <s v="Yes"/>
    <n v="0"/>
    <s v="Not Graduate"/>
    <s v="No"/>
    <n v="2415"/>
    <n v="1721"/>
    <n v="110"/>
    <n v="360"/>
    <n v="1"/>
    <s v="Semiurban"/>
    <n v="4136"/>
    <n v="344.66666666666669"/>
    <n v="845.80483194276701"/>
    <n v="2.4539792029287244"/>
    <s v="Low Risk"/>
    <x v="4"/>
    <s v="100-200"/>
    <n v="0"/>
  </r>
  <r>
    <x v="232"/>
    <s v="Female"/>
    <s v="No"/>
    <n v="2"/>
    <s v="Graduate"/>
    <s v="No"/>
    <n v="4968"/>
    <n v="0"/>
    <n v="189"/>
    <n v="360"/>
    <n v="1"/>
    <s v="Semiurban"/>
    <n v="4968"/>
    <n v="414"/>
    <n v="1453.2464839743907"/>
    <n v="3.5102572076676104"/>
    <s v="Low Risk"/>
    <x v="4"/>
    <s v="100-200"/>
    <n v="0"/>
  </r>
  <r>
    <x v="233"/>
    <s v="Female"/>
    <s v="No"/>
    <n v="0"/>
    <s v="Graduate"/>
    <s v="No"/>
    <n v="2101"/>
    <n v="1500"/>
    <n v="108"/>
    <n v="360"/>
    <n v="0"/>
    <s v="Rural"/>
    <n v="3601"/>
    <n v="300.08333333333331"/>
    <n v="830.42656227108023"/>
    <n v="2.7673198409477822"/>
    <s v="High Risk"/>
    <x v="4"/>
    <s v="100-200"/>
    <n v="1"/>
  </r>
  <r>
    <x v="234"/>
    <s v="Male"/>
    <s v="Yes"/>
    <n v="3"/>
    <s v="Not Graduate"/>
    <s v="No"/>
    <n v="4490"/>
    <n v="0"/>
    <n v="125"/>
    <n v="360"/>
    <n v="1"/>
    <s v="Urban"/>
    <n v="4490"/>
    <n v="374.16666666666669"/>
    <n v="961.14185448041712"/>
    <n v="2.5687532859164821"/>
    <s v="Low Risk"/>
    <x v="4"/>
    <s v="100-200"/>
    <n v="0"/>
  </r>
  <r>
    <x v="235"/>
    <s v="Male"/>
    <s v="Yes"/>
    <n v="0"/>
    <s v="Not Graduate"/>
    <s v="No"/>
    <n v="4700"/>
    <n v="0"/>
    <n v="135"/>
    <n v="360"/>
    <n v="0"/>
    <s v="Semiurban"/>
    <n v="4700"/>
    <n v="391.66666666666669"/>
    <n v="1038.0332028388502"/>
    <n v="2.6502975391630219"/>
    <s v="High Risk"/>
    <x v="4"/>
    <s v="100-200"/>
    <n v="1"/>
  </r>
  <r>
    <x v="236"/>
    <s v="Male"/>
    <s v="Yes"/>
    <n v="0"/>
    <s v="Graduate"/>
    <s v="No"/>
    <n v="3445"/>
    <n v="0"/>
    <n v="130"/>
    <n v="360"/>
    <n v="0"/>
    <s v="Semiurban"/>
    <n v="3445"/>
    <n v="287.08333333333331"/>
    <n v="999.58752865963379"/>
    <n v="3.4818723784950962"/>
    <s v="High Risk"/>
    <x v="4"/>
    <s v="100-200"/>
    <n v="1"/>
  </r>
  <r>
    <x v="237"/>
    <s v="Female"/>
    <s v="No"/>
    <n v="0"/>
    <s v="Graduate"/>
    <s v="No"/>
    <n v="3250"/>
    <n v="0"/>
    <n v="95"/>
    <n v="360"/>
    <n v="1"/>
    <s v="Semiurban"/>
    <n v="3250"/>
    <n v="270.83333333333331"/>
    <n v="730.46780940511701"/>
    <n v="2.6971119116496629"/>
    <s v="Low Risk"/>
    <x v="4"/>
    <s v="&lt;100"/>
    <n v="0"/>
  </r>
  <r>
    <x v="238"/>
    <s v="Male"/>
    <s v="No"/>
    <n v="0"/>
    <s v="Graduate"/>
    <s v="No"/>
    <n v="4463"/>
    <n v="0"/>
    <n v="65"/>
    <n v="360"/>
    <n v="1"/>
    <s v="Semiurban"/>
    <n v="4463"/>
    <n v="371.91666666666669"/>
    <n v="499.7937643298169"/>
    <n v="1.3438326623252974"/>
    <s v="Low Risk"/>
    <x v="4"/>
    <s v="&lt;100"/>
    <n v="0"/>
  </r>
  <r>
    <x v="239"/>
    <s v="Male"/>
    <s v="Yes"/>
    <n v="3"/>
    <s v="Graduate"/>
    <s v="No"/>
    <n v="3829"/>
    <n v="1103"/>
    <n v="163"/>
    <n v="360"/>
    <n v="0"/>
    <s v="Urban"/>
    <n v="4932"/>
    <n v="411"/>
    <n v="1253.3289782424638"/>
    <n v="3.0494622341665787"/>
    <s v="High Risk"/>
    <x v="4"/>
    <s v="100-200"/>
    <n v="1"/>
  </r>
  <r>
    <x v="240"/>
    <s v="Male"/>
    <s v="Yes"/>
    <n v="2"/>
    <s v="Not Graduate"/>
    <s v="No"/>
    <n v="4136"/>
    <n v="0"/>
    <n v="149"/>
    <n v="480"/>
    <n v="0"/>
    <s v="Rural"/>
    <n v="4136"/>
    <n v="344.66666666666669"/>
    <n v="1092.3101617502396"/>
    <n v="3.1691784190045635"/>
    <s v="High Risk"/>
    <x v="4"/>
    <s v="100-200"/>
    <n v="1"/>
  </r>
  <r>
    <x v="241"/>
    <s v="Male"/>
    <s v="Yes"/>
    <n v="0"/>
    <s v="Graduate"/>
    <s v="No"/>
    <n v="4456"/>
    <n v="0"/>
    <n v="131"/>
    <n v="180"/>
    <n v="0"/>
    <s v="Semiurban"/>
    <n v="4456"/>
    <n v="371.33333333333331"/>
    <n v="1290.0088208825271"/>
    <n v="3.4739914386423529"/>
    <s v="High Risk"/>
    <x v="4"/>
    <s v="100-200"/>
    <n v="1"/>
  </r>
  <r>
    <x v="242"/>
    <s v="Male"/>
    <s v="No"/>
    <n v="0"/>
    <s v="Graduate"/>
    <s v="No"/>
    <n v="3066"/>
    <n v="0"/>
    <n v="95"/>
    <n v="360"/>
    <n v="1"/>
    <s v="Semiurban"/>
    <n v="3066"/>
    <n v="255.5"/>
    <n v="730.46780940511701"/>
    <n v="2.8589738137186576"/>
    <s v="Low Risk"/>
    <x v="4"/>
    <s v="&lt;100"/>
    <n v="0"/>
  </r>
  <r>
    <x v="243"/>
    <s v="Male"/>
    <s v="No"/>
    <n v="0"/>
    <s v="Graduate"/>
    <s v="No"/>
    <n v="4452"/>
    <n v="0"/>
    <n v="131"/>
    <n v="360"/>
    <n v="1"/>
    <s v="Rural"/>
    <n v="4452"/>
    <n v="371"/>
    <n v="1007.2766634954771"/>
    <n v="2.7150314379931997"/>
    <s v="Low Risk"/>
    <x v="4"/>
    <s v="100-200"/>
    <n v="0"/>
  </r>
  <r>
    <x v="244"/>
    <s v="Female"/>
    <s v="Yes"/>
    <n v="0"/>
    <s v="Graduate"/>
    <s v="No"/>
    <n v="2262"/>
    <n v="0"/>
    <n v="125"/>
    <n v="480"/>
    <n v="0"/>
    <s v="Semiurban"/>
    <n v="2262"/>
    <n v="188.5"/>
    <n v="916.3675853609393"/>
    <n v="4.8613665005885371"/>
    <s v="High Risk"/>
    <x v="4"/>
    <s v="100-200"/>
    <n v="1"/>
  </r>
  <r>
    <x v="245"/>
    <s v="Male"/>
    <s v="Yes"/>
    <n v="1"/>
    <s v="Graduate"/>
    <s v="No"/>
    <n v="3901"/>
    <n v="0"/>
    <n v="116"/>
    <n v="360"/>
    <n v="1"/>
    <s v="Urban"/>
    <n v="3901"/>
    <n v="325.08333333333331"/>
    <n v="891.93964095782701"/>
    <n v="2.7437261449612729"/>
    <s v="Low Risk"/>
    <x v="4"/>
    <s v="100-200"/>
    <n v="0"/>
  </r>
  <r>
    <x v="246"/>
    <s v="Male"/>
    <s v="Yes"/>
    <n v="2"/>
    <s v="Not Graduate"/>
    <s v="No"/>
    <n v="2687"/>
    <n v="0"/>
    <n v="50"/>
    <n v="180"/>
    <n v="1"/>
    <s v="Rural"/>
    <n v="2687"/>
    <n v="223.91666666666666"/>
    <n v="492.3697789627966"/>
    <n v="2.1988974125618013"/>
    <s v="Low Risk"/>
    <x v="4"/>
    <s v="&lt;100"/>
    <n v="0"/>
  </r>
  <r>
    <x v="247"/>
    <s v="Male"/>
    <s v="No"/>
    <n v="0"/>
    <s v="Graduate"/>
    <s v="No"/>
    <n v="2243"/>
    <n v="2233"/>
    <n v="107"/>
    <n v="360"/>
    <n v="0"/>
    <s v="Semiurban"/>
    <n v="4476"/>
    <n v="373"/>
    <n v="822.73742743523701"/>
    <n v="2.2057303684590805"/>
    <s v="High Risk"/>
    <x v="4"/>
    <s v="100-200"/>
    <n v="1"/>
  </r>
  <r>
    <x v="248"/>
    <s v="Female"/>
    <s v="Yes"/>
    <n v="0"/>
    <s v="Graduate"/>
    <s v="No"/>
    <n v="3417"/>
    <n v="1287"/>
    <n v="200"/>
    <n v="360"/>
    <n v="1"/>
    <s v="Semiurban"/>
    <n v="4704"/>
    <n v="392"/>
    <n v="1537.8269671686674"/>
    <n v="3.9230279774710901"/>
    <s v="Low Risk"/>
    <x v="4"/>
    <s v="200-300"/>
    <n v="0"/>
  </r>
  <r>
    <x v="249"/>
    <s v="Male"/>
    <s v="No"/>
    <n v="0"/>
    <s v="Graduate"/>
    <s v="No"/>
    <n v="1596"/>
    <n v="1760"/>
    <n v="119"/>
    <n v="360"/>
    <n v="0"/>
    <s v="Urban"/>
    <n v="3356"/>
    <n v="279.66666666666669"/>
    <n v="915.00704546535701"/>
    <n v="3.2717772781836363"/>
    <s v="High Risk"/>
    <x v="4"/>
    <s v="100-200"/>
    <n v="1"/>
  </r>
  <r>
    <x v="250"/>
    <s v="Male"/>
    <s v="Yes"/>
    <n v="3"/>
    <s v="Graduate"/>
    <s v="No"/>
    <n v="4513"/>
    <n v="0"/>
    <n v="120"/>
    <n v="360"/>
    <n v="1"/>
    <s v="Rural"/>
    <n v="4513"/>
    <n v="376.08333333333331"/>
    <n v="922.69618030120034"/>
    <n v="2.4534354450729903"/>
    <s v="Low Risk"/>
    <x v="4"/>
    <s v="100-200"/>
    <n v="0"/>
  </r>
  <r>
    <x v="251"/>
    <s v="Male"/>
    <s v="Yes"/>
    <n v="0"/>
    <s v="Graduate"/>
    <s v="No"/>
    <n v="4500"/>
    <n v="0"/>
    <n v="140"/>
    <n v="360"/>
    <n v="1"/>
    <s v="Semiurban"/>
    <n v="4500"/>
    <n v="375"/>
    <n v="1076.4788770180671"/>
    <n v="2.8706103387148456"/>
    <s v="Low Risk"/>
    <x v="4"/>
    <s v="100-200"/>
    <n v="0"/>
  </r>
  <r>
    <x v="252"/>
    <s v="Female"/>
    <s v="No"/>
    <n v="0"/>
    <s v="Graduate"/>
    <s v="Yes"/>
    <n v="4742"/>
    <n v="0"/>
    <n v="108"/>
    <n v="360"/>
    <n v="1"/>
    <s v="Semiurban"/>
    <n v="4742"/>
    <n v="395.16666666666669"/>
    <n v="830.42656227108023"/>
    <n v="2.101459035692316"/>
    <s v="Low Risk"/>
    <x v="4"/>
    <s v="100-200"/>
    <n v="0"/>
  </r>
  <r>
    <x v="253"/>
    <s v="Male"/>
    <s v="Yes"/>
    <n v="0"/>
    <s v="Graduate"/>
    <s v="No"/>
    <n v="4082"/>
    <n v="0"/>
    <n v="93"/>
    <n v="360"/>
    <n v="1"/>
    <s v="Semiurban"/>
    <n v="4082"/>
    <n v="340.16666666666669"/>
    <n v="715.08953973343023"/>
    <n v="2.1021740511516813"/>
    <s v="Low Risk"/>
    <x v="4"/>
    <s v="&lt;100"/>
    <n v="0"/>
  </r>
  <r>
    <x v="254"/>
    <s v="Female"/>
    <s v="No"/>
    <n v="0"/>
    <s v="Graduate"/>
    <s v="No"/>
    <n v="3417"/>
    <n v="0"/>
    <n v="102"/>
    <n v="360"/>
    <n v="1"/>
    <s v="Urban"/>
    <n v="3417"/>
    <n v="284.75"/>
    <n v="784.29175325602023"/>
    <n v="2.7543169561229859"/>
    <s v="Low Risk"/>
    <x v="4"/>
    <s v="100-200"/>
    <n v="0"/>
  </r>
  <r>
    <x v="255"/>
    <s v="Female"/>
    <s v="No"/>
    <n v="0"/>
    <s v="Not Graduate"/>
    <s v="No"/>
    <n v="0"/>
    <n v="1760"/>
    <n v="180"/>
    <n v="360"/>
    <n v="1"/>
    <s v="Semiurban"/>
    <n v="1760"/>
    <n v="146.66666666666666"/>
    <n v="1384.0442704518005"/>
    <n v="9.4366654803531862"/>
    <s v="Low Risk"/>
    <x v="4"/>
    <s v="100-200"/>
    <n v="0"/>
  </r>
  <r>
    <x v="256"/>
    <s v="Male"/>
    <s v="Yes"/>
    <n v="1"/>
    <s v="Graduate"/>
    <s v="No"/>
    <n v="1516"/>
    <n v="2900"/>
    <n v="80"/>
    <n v="360"/>
    <n v="0"/>
    <s v="Rural"/>
    <n v="4416"/>
    <n v="368"/>
    <n v="615.1307868674669"/>
    <n v="1.6715510512702905"/>
    <s v="High Risk"/>
    <x v="4"/>
    <s v="&lt;100"/>
    <n v="1"/>
  </r>
  <r>
    <x v="257"/>
    <s v="Female"/>
    <s v="No"/>
    <n v="0"/>
    <s v="Graduate"/>
    <s v="No"/>
    <n v="1762"/>
    <n v="2666"/>
    <n v="104"/>
    <n v="360"/>
    <n v="0"/>
    <s v="Urban"/>
    <n v="4428"/>
    <n v="369"/>
    <n v="799.67002292770701"/>
    <n v="2.1671274334084201"/>
    <s v="High Risk"/>
    <x v="4"/>
    <s v="100-200"/>
    <n v="1"/>
  </r>
  <r>
    <x v="258"/>
    <s v="Male"/>
    <s v="Yes"/>
    <n v="2"/>
    <s v="Graduate"/>
    <s v="No"/>
    <n v="724"/>
    <n v="3510"/>
    <n v="213"/>
    <n v="360"/>
    <n v="0"/>
    <s v="Rural"/>
    <n v="4234"/>
    <n v="352.83333333333331"/>
    <n v="1637.7857200346307"/>
    <n v="4.6418112046328694"/>
    <s v="High Risk"/>
    <x v="4"/>
    <s v="200-300"/>
    <n v="1"/>
  </r>
  <r>
    <x v="259"/>
    <s v="Male"/>
    <s v="No"/>
    <n v="0"/>
    <s v="Graduate"/>
    <s v="No"/>
    <n v="3125"/>
    <n v="0"/>
    <n v="65"/>
    <n v="360"/>
    <n v="1"/>
    <s v="Urban"/>
    <n v="3125"/>
    <n v="260.41666666666669"/>
    <n v="499.7937643298169"/>
    <n v="1.9192080550264967"/>
    <s v="Low Risk"/>
    <x v="4"/>
    <s v="&lt;100"/>
    <n v="0"/>
  </r>
  <r>
    <x v="260"/>
    <s v="Male"/>
    <s v="Yes"/>
    <n v="3"/>
    <s v="Graduate"/>
    <s v="No"/>
    <n v="3350"/>
    <n v="1560"/>
    <n v="135"/>
    <n v="360"/>
    <n v="1"/>
    <s v="Urban"/>
    <n v="4910"/>
    <n v="409.16666666666669"/>
    <n v="1038.0332028388502"/>
    <n v="2.5369446912558455"/>
    <s v="Low Risk"/>
    <x v="4"/>
    <s v="100-200"/>
    <n v="0"/>
  </r>
  <r>
    <x v="261"/>
    <s v="Male"/>
    <s v="No"/>
    <n v="0"/>
    <s v="Graduate"/>
    <s v="No"/>
    <n v="4667"/>
    <n v="0"/>
    <n v="120"/>
    <n v="360"/>
    <n v="1"/>
    <s v="Semiurban"/>
    <n v="4667"/>
    <n v="388.91666666666669"/>
    <n v="922.69618030120034"/>
    <n v="2.3724778580703672"/>
    <s v="Low Risk"/>
    <x v="4"/>
    <s v="100-200"/>
    <n v="0"/>
  </r>
  <r>
    <x v="262"/>
    <s v="Male"/>
    <s v="No"/>
    <n v="0"/>
    <s v="Graduate"/>
    <s v="No"/>
    <n v="3073"/>
    <n v="0"/>
    <n v="70"/>
    <n v="180"/>
    <n v="1"/>
    <s v="Urban"/>
    <n v="3073"/>
    <n v="256.08333333333331"/>
    <n v="689.31769054791528"/>
    <n v="2.6917710011633531"/>
    <s v="Low Risk"/>
    <x v="4"/>
    <s v="&lt;100"/>
    <n v="0"/>
  </r>
  <r>
    <x v="263"/>
    <s v="Male"/>
    <s v="Yes"/>
    <n v="0"/>
    <s v="Graduate"/>
    <s v="No"/>
    <n v="3333"/>
    <n v="1270"/>
    <n v="124"/>
    <n v="360"/>
    <n v="1"/>
    <s v="Urban"/>
    <n v="4603"/>
    <n v="383.58333333333331"/>
    <n v="953.45271964457379"/>
    <n v="2.485646890231346"/>
    <s v="Low Risk"/>
    <x v="4"/>
    <s v="100-200"/>
    <n v="0"/>
  </r>
  <r>
    <x v="264"/>
    <s v="Male"/>
    <s v="No"/>
    <n v="0"/>
    <s v="Graduate"/>
    <s v="No"/>
    <n v="3391"/>
    <n v="0"/>
    <n v="132"/>
    <n v="360"/>
    <n v="1"/>
    <s v="Rural"/>
    <n v="3391"/>
    <n v="282.58333333333331"/>
    <n v="1014.9657983313205"/>
    <n v="3.5917397758701997"/>
    <s v="Low Risk"/>
    <x v="4"/>
    <s v="100-200"/>
    <n v="0"/>
  </r>
  <r>
    <x v="265"/>
    <s v="Male"/>
    <s v="Yes"/>
    <n v="1"/>
    <s v="Graduate"/>
    <s v="Yes"/>
    <n v="3343"/>
    <n v="1517"/>
    <n v="105"/>
    <n v="360"/>
    <n v="1"/>
    <s v="Rural"/>
    <n v="4860"/>
    <n v="405"/>
    <n v="807.35915776355023"/>
    <n v="1.9934794018853093"/>
    <s v="Low Risk"/>
    <x v="4"/>
    <s v="100-200"/>
    <n v="0"/>
  </r>
  <r>
    <x v="266"/>
    <s v="Female"/>
    <s v="No"/>
    <n v="1"/>
    <s v="Graduate"/>
    <s v="No"/>
    <n v="3620"/>
    <n v="0"/>
    <n v="90"/>
    <n v="360"/>
    <n v="1"/>
    <s v="Urban"/>
    <n v="3620"/>
    <n v="301.66666666666669"/>
    <n v="692.02213522590023"/>
    <n v="2.29399602837315"/>
    <s v="Low Risk"/>
    <x v="4"/>
    <s v="&lt;100"/>
    <n v="0"/>
  </r>
  <r>
    <x v="267"/>
    <s v="Male"/>
    <s v="No"/>
    <n v="0"/>
    <s v="Graduate"/>
    <s v="No"/>
    <n v="4000"/>
    <n v="0"/>
    <n v="83"/>
    <n v="84"/>
    <n v="1"/>
    <s v="Urban"/>
    <n v="4000"/>
    <n v="333.33333333333331"/>
    <n v="1314.4282912826777"/>
    <n v="3.9432848738480333"/>
    <s v="Low Risk"/>
    <x v="4"/>
    <s v="&lt;100"/>
    <n v="0"/>
  </r>
  <r>
    <x v="268"/>
    <s v="Male"/>
    <s v="Yes"/>
    <n v="0"/>
    <s v="Graduate"/>
    <s v="No"/>
    <n v="4258"/>
    <n v="0"/>
    <n v="125"/>
    <n v="360"/>
    <n v="1"/>
    <s v="Urban"/>
    <n v="4258"/>
    <n v="354.83333333333331"/>
    <n v="961.14185448041712"/>
    <n v="2.7087135401045104"/>
    <s v="Low Risk"/>
    <x v="4"/>
    <s v="100-200"/>
    <n v="0"/>
  </r>
  <r>
    <x v="269"/>
    <s v="Male"/>
    <s v="Yes"/>
    <n v="2"/>
    <s v="Graduate"/>
    <s v="No"/>
    <n v="4500"/>
    <n v="0"/>
    <n v="147"/>
    <n v="360"/>
    <n v="1"/>
    <s v="Rural"/>
    <n v="4500"/>
    <n v="375"/>
    <n v="1130.3028208689702"/>
    <n v="3.0141408556505871"/>
    <s v="Low Risk"/>
    <x v="4"/>
    <s v="100-200"/>
    <n v="0"/>
  </r>
  <r>
    <x v="270"/>
    <s v="Male"/>
    <s v="Yes"/>
    <n v="1"/>
    <s v="Graduate"/>
    <s v="No"/>
    <n v="2014"/>
    <n v="2925"/>
    <n v="120"/>
    <n v="360"/>
    <n v="1"/>
    <s v="Rural"/>
    <n v="4939"/>
    <n v="411.58333333333331"/>
    <n v="922.69618030120034"/>
    <n v="2.2418210495271116"/>
    <s v="Low Risk"/>
    <x v="4"/>
    <s v="100-200"/>
    <n v="0"/>
  </r>
  <r>
    <x v="271"/>
    <s v="Male"/>
    <s v="No"/>
    <n v="0"/>
    <s v="Graduate"/>
    <s v="No"/>
    <n v="3333"/>
    <n v="1250"/>
    <n v="110"/>
    <n v="360"/>
    <n v="1"/>
    <s v="Semiurban"/>
    <n v="4583"/>
    <n v="381.91666666666669"/>
    <n v="845.80483194276701"/>
    <n v="2.2146318968608343"/>
    <s v="Low Risk"/>
    <x v="4"/>
    <s v="100-200"/>
    <n v="0"/>
  </r>
  <r>
    <x v="272"/>
    <s v="Female"/>
    <s v="No"/>
    <n v="3"/>
    <s v="Graduate"/>
    <s v="No"/>
    <n v="4083"/>
    <n v="0"/>
    <n v="103"/>
    <n v="360"/>
    <n v="0"/>
    <s v="Semiurban"/>
    <n v="4083"/>
    <n v="340.25"/>
    <n v="791.98088809186368"/>
    <n v="2.3276440502332512"/>
    <s v="High Risk"/>
    <x v="4"/>
    <s v="100-200"/>
    <n v="1"/>
  </r>
  <r>
    <x v="273"/>
    <s v="Male"/>
    <s v="No"/>
    <n v="0"/>
    <s v="Graduate"/>
    <s v="No"/>
    <n v="4727"/>
    <n v="0"/>
    <n v="150"/>
    <n v="360"/>
    <n v="0"/>
    <s v="Rural"/>
    <n v="4727"/>
    <n v="393.91666666666669"/>
    <n v="1153.3702253765005"/>
    <n v="2.9279548771986472"/>
    <s v="High Risk"/>
    <x v="4"/>
    <s v="100-200"/>
    <n v="1"/>
  </r>
  <r>
    <x v="274"/>
    <s v="Male"/>
    <s v="No"/>
    <n v="0"/>
    <s v="Not Graduate"/>
    <s v="No"/>
    <n v="3276"/>
    <n v="0"/>
    <n v="90"/>
    <n v="360"/>
    <n v="1"/>
    <s v="Semiurban"/>
    <n v="3276"/>
    <n v="273"/>
    <n v="692.02213522590023"/>
    <n v="2.5348796162120886"/>
    <s v="Low Risk"/>
    <x v="4"/>
    <s v="&lt;100"/>
    <n v="0"/>
  </r>
  <r>
    <x v="275"/>
    <s v="Male"/>
    <s v="Yes"/>
    <n v="0"/>
    <s v="Graduate"/>
    <s v="No"/>
    <n v="2783"/>
    <n v="1456"/>
    <n v="113"/>
    <n v="360"/>
    <n v="1"/>
    <s v="Urban"/>
    <n v="4239"/>
    <n v="353.25"/>
    <n v="868.87223645029701"/>
    <n v="2.4596524740277341"/>
    <s v="Low Risk"/>
    <x v="4"/>
    <s v="100-200"/>
    <n v="0"/>
  </r>
  <r>
    <x v="276"/>
    <s v="Male"/>
    <s v="Yes"/>
    <n v="1"/>
    <s v="Not Graduate"/>
    <s v="No"/>
    <n v="2463"/>
    <n v="2360"/>
    <n v="117"/>
    <n v="360"/>
    <n v="0"/>
    <s v="Urban"/>
    <n v="4823"/>
    <n v="401.91666666666669"/>
    <n v="899.62877579367034"/>
    <n v="2.2383465290325613"/>
    <s v="High Risk"/>
    <x v="4"/>
    <s v="100-200"/>
    <n v="1"/>
  </r>
  <r>
    <x v="277"/>
    <s v="Male"/>
    <s v="Yes"/>
    <n v="2"/>
    <s v="Graduate"/>
    <s v="No"/>
    <n v="4855"/>
    <n v="0"/>
    <n v="72"/>
    <n v="360"/>
    <n v="1"/>
    <s v="Rural"/>
    <n v="4855"/>
    <n v="404.58333333333331"/>
    <n v="553.61770818072023"/>
    <n v="1.3683650871614095"/>
    <s v="Low Risk"/>
    <x v="4"/>
    <s v="&lt;100"/>
    <n v="0"/>
  </r>
  <r>
    <x v="278"/>
    <s v="Male"/>
    <s v="No"/>
    <n v="0"/>
    <s v="Not Graduate"/>
    <s v="Yes"/>
    <n v="1599"/>
    <n v="2474"/>
    <n v="125"/>
    <n v="300"/>
    <n v="1"/>
    <s v="Semiurban"/>
    <n v="4073"/>
    <n v="339.41666666666669"/>
    <n v="1006.5338543276641"/>
    <n v="2.9654815251490225"/>
    <s v="Low Risk"/>
    <x v="4"/>
    <s v="100-200"/>
    <n v="0"/>
  </r>
  <r>
    <x v="279"/>
    <s v="Male"/>
    <s v="No"/>
    <n v="0"/>
    <s v="Graduate"/>
    <s v="No"/>
    <n v="2964"/>
    <n v="0"/>
    <n v="84"/>
    <n v="360"/>
    <n v="0"/>
    <s v="Semiurban"/>
    <n v="2964"/>
    <n v="247"/>
    <n v="645.88732621084023"/>
    <n v="2.6149284461977338"/>
    <s v="High Risk"/>
    <x v="4"/>
    <s v="&lt;100"/>
    <n v="1"/>
  </r>
  <r>
    <x v="280"/>
    <s v="Female"/>
    <s v="No"/>
    <n v="0"/>
    <s v="Graduate"/>
    <s v="No"/>
    <n v="2708"/>
    <n v="0"/>
    <n v="65"/>
    <n v="360"/>
    <n v="1"/>
    <s v="Rural"/>
    <n v="2708"/>
    <n v="225.66666666666666"/>
    <n v="499.7937643298169"/>
    <n v="2.2147434165279924"/>
    <s v="Low Risk"/>
    <x v="4"/>
    <s v="&lt;100"/>
    <n v="0"/>
  </r>
  <r>
    <x v="281"/>
    <s v="Male"/>
    <s v="No"/>
    <n v="0"/>
    <s v="Not Graduate"/>
    <s v="No"/>
    <n v="2268"/>
    <n v="0"/>
    <n v="170"/>
    <n v="360"/>
    <n v="0"/>
    <s v="Semiurban"/>
    <n v="2268"/>
    <n v="189"/>
    <n v="1307.1529220933671"/>
    <n v="6.9161530269490328"/>
    <s v="High Risk"/>
    <x v="4"/>
    <s v="100-200"/>
    <n v="1"/>
  </r>
  <r>
    <x v="282"/>
    <s v="Male"/>
    <s v="No"/>
    <n v="2"/>
    <s v="Not Graduate"/>
    <s v="No"/>
    <n v="1141"/>
    <n v="2017"/>
    <n v="120"/>
    <n v="360"/>
    <n v="0"/>
    <s v="Urban"/>
    <n v="3158"/>
    <n v="263.16666666666669"/>
    <n v="922.69618030120034"/>
    <n v="3.5061286141907546"/>
    <s v="High Risk"/>
    <x v="4"/>
    <s v="100-200"/>
    <n v="1"/>
  </r>
  <r>
    <x v="283"/>
    <s v="Female"/>
    <s v="Yes"/>
    <n v="3"/>
    <s v="Graduate"/>
    <s v="No"/>
    <n v="1750"/>
    <n v="2935"/>
    <n v="94"/>
    <n v="360"/>
    <n v="0"/>
    <s v="Semiurban"/>
    <n v="4685"/>
    <n v="390.41666666666669"/>
    <n v="722.77867456927368"/>
    <n v="1.8513007673065707"/>
    <s v="High Risk"/>
    <x v="4"/>
    <s v="&lt;100"/>
    <n v="1"/>
  </r>
  <r>
    <x v="284"/>
    <s v="Female"/>
    <s v="Yes"/>
    <n v="1"/>
    <s v="Graduate"/>
    <s v="No"/>
    <n v="3564"/>
    <n v="0"/>
    <n v="79"/>
    <n v="360"/>
    <n v="1"/>
    <s v="Rural"/>
    <n v="3564"/>
    <n v="297"/>
    <n v="607.44165203162356"/>
    <n v="2.045258087648564"/>
    <s v="Low Risk"/>
    <x v="4"/>
    <s v="&lt;100"/>
    <n v="0"/>
  </r>
  <r>
    <x v="285"/>
    <s v="Female"/>
    <s v="No"/>
    <n v="0"/>
    <s v="Graduate"/>
    <s v="No"/>
    <n v="3958"/>
    <n v="0"/>
    <n v="110"/>
    <n v="360"/>
    <n v="1"/>
    <s v="Rural"/>
    <n v="3958"/>
    <n v="329.83333333333331"/>
    <n v="845.80483194276701"/>
    <n v="2.564340066526833"/>
    <s v="Low Risk"/>
    <x v="4"/>
    <s v="100-200"/>
    <n v="0"/>
  </r>
  <r>
    <x v="286"/>
    <s v="Male"/>
    <s v="Yes"/>
    <n v="2"/>
    <s v="Not Graduate"/>
    <s v="No"/>
    <n v="4483"/>
    <n v="0"/>
    <n v="130"/>
    <n v="360"/>
    <n v="1"/>
    <s v="Rural"/>
    <n v="4483"/>
    <n v="373.58333333333331"/>
    <n v="999.58752865963379"/>
    <n v="2.6756748480739696"/>
    <s v="Low Risk"/>
    <x v="4"/>
    <s v="100-200"/>
    <n v="0"/>
  </r>
  <r>
    <x v="287"/>
    <s v="Male"/>
    <s v="Yes"/>
    <n v="0"/>
    <s v="Not Graduate"/>
    <s v="No"/>
    <n v="2431"/>
    <n v="1820"/>
    <n v="110"/>
    <n v="360"/>
    <n v="0"/>
    <s v="Rural"/>
    <n v="4251"/>
    <n v="354.25"/>
    <n v="845.80483194276701"/>
    <n v="2.3875930330071053"/>
    <s v="High Risk"/>
    <x v="4"/>
    <s v="100-200"/>
    <n v="1"/>
  </r>
  <r>
    <x v="288"/>
    <s v="Female"/>
    <s v="No"/>
    <n v="0"/>
    <s v="Graduate"/>
    <s v="No"/>
    <n v="2918"/>
    <n v="0"/>
    <n v="65"/>
    <n v="360"/>
    <n v="0"/>
    <s v="Rural"/>
    <n v="2918"/>
    <n v="243.16666666666666"/>
    <n v="499.7937643298169"/>
    <n v="2.0553547539265944"/>
    <s v="High Risk"/>
    <x v="4"/>
    <s v="&lt;100"/>
    <n v="1"/>
  </r>
  <r>
    <x v="289"/>
    <s v="Male"/>
    <s v="Yes"/>
    <n v="2"/>
    <s v="Graduate"/>
    <s v="No"/>
    <n v="4358"/>
    <n v="0"/>
    <n v="110"/>
    <n v="360"/>
    <n v="1"/>
    <s v="Urban"/>
    <n v="4358"/>
    <n v="363.16666666666669"/>
    <n v="845.80483194276701"/>
    <n v="2.3289715427519972"/>
    <s v="Low Risk"/>
    <x v="4"/>
    <s v="100-200"/>
    <n v="0"/>
  </r>
  <r>
    <x v="290"/>
    <s v="Male"/>
    <s v="Yes"/>
    <n v="0"/>
    <s v="Not Graduate"/>
    <s v="No"/>
    <n v="4483"/>
    <n v="0"/>
    <n v="135"/>
    <n v="360"/>
    <n v="0"/>
    <s v="Semiurban"/>
    <n v="4483"/>
    <n v="373.58333333333331"/>
    <n v="1038.0332028388502"/>
    <n v="2.7785854191537371"/>
    <s v="High Risk"/>
    <x v="4"/>
    <s v="100-200"/>
    <n v="1"/>
  </r>
  <r>
    <x v="291"/>
    <s v="Female"/>
    <s v="Yes"/>
    <n v="1"/>
    <s v="Graduate"/>
    <s v="No"/>
    <n v="4333"/>
    <n v="0"/>
    <n v="132"/>
    <n v="84"/>
    <n v="1"/>
    <s v="Rural"/>
    <n v="4333"/>
    <n v="361.08333333333331"/>
    <n v="2090.4160777025718"/>
    <n v="5.7892898528573422"/>
    <s v="Low Risk"/>
    <x v="4"/>
    <s v="100-200"/>
    <n v="0"/>
  </r>
  <r>
    <x v="292"/>
    <s v="Male"/>
    <s v="No"/>
    <n v="0"/>
    <s v="Graduate"/>
    <s v="No"/>
    <n v="4083"/>
    <n v="0"/>
    <n v="96"/>
    <n v="360"/>
    <n v="1"/>
    <s v="Urban"/>
    <n v="4083"/>
    <n v="340.25"/>
    <n v="738.15694424096023"/>
    <n v="2.169454648761088"/>
    <s v="Low Risk"/>
    <x v="4"/>
    <s v="&lt;100"/>
    <n v="0"/>
  </r>
  <r>
    <x v="293"/>
    <s v="Male"/>
    <s v="Yes"/>
    <n v="3"/>
    <s v="Not Graduate"/>
    <s v="No"/>
    <n v="2654"/>
    <n v="1998"/>
    <n v="128"/>
    <n v="360"/>
    <n v="0"/>
    <s v="Rural"/>
    <n v="4652"/>
    <n v="387.66666666666669"/>
    <n v="984.20925898794701"/>
    <n v="2.5388029036662432"/>
    <s v="High Risk"/>
    <x v="4"/>
    <s v="100-200"/>
    <n v="1"/>
  </r>
  <r>
    <x v="294"/>
    <s v="Male"/>
    <s v="Yes"/>
    <n v="1"/>
    <s v="Graduate"/>
    <s v="No"/>
    <n v="4796"/>
    <n v="0"/>
    <n v="114"/>
    <n v="360"/>
    <n v="0"/>
    <s v="Semiurban"/>
    <n v="4796"/>
    <n v="399.66666666666669"/>
    <n v="876.56137128614034"/>
    <n v="2.1932311208160309"/>
    <s v="High Risk"/>
    <x v="4"/>
    <s v="100-200"/>
    <n v="1"/>
  </r>
  <r>
    <x v="295"/>
    <s v="Male"/>
    <s v="Yes"/>
    <n v="0"/>
    <s v="Not Graduate"/>
    <s v="No"/>
    <n v="2000"/>
    <n v="1600"/>
    <n v="115"/>
    <n v="360"/>
    <n v="1"/>
    <s v="Rural"/>
    <n v="3600"/>
    <n v="300"/>
    <n v="884.25050612198368"/>
    <n v="2.9475016870732791"/>
    <s v="Low Risk"/>
    <x v="4"/>
    <s v="100-200"/>
    <n v="0"/>
  </r>
  <r>
    <x v="296"/>
    <s v="Male"/>
    <s v="Yes"/>
    <n v="2"/>
    <s v="Graduate"/>
    <s v="No"/>
    <n v="2540"/>
    <n v="700"/>
    <n v="104"/>
    <n v="360"/>
    <n v="0"/>
    <s v="Urban"/>
    <n v="3240"/>
    <n v="270"/>
    <n v="799.67002292770701"/>
    <n v="2.9617408256581741"/>
    <s v="High Risk"/>
    <x v="4"/>
    <s v="100-200"/>
    <n v="1"/>
  </r>
  <r>
    <x v="297"/>
    <s v="Male"/>
    <s v="Yes"/>
    <n v="0"/>
    <s v="Graduate"/>
    <s v="Yes"/>
    <n v="1900"/>
    <n v="1442"/>
    <n v="88"/>
    <n v="360"/>
    <n v="1"/>
    <s v="Rural"/>
    <n v="3342"/>
    <n v="278.5"/>
    <n v="676.64386555421368"/>
    <n v="2.4296009535160277"/>
    <s v="Low Risk"/>
    <x v="4"/>
    <s v="&lt;100"/>
    <n v="0"/>
  </r>
  <r>
    <x v="298"/>
    <s v="Male"/>
    <s v="Yes"/>
    <n v="3"/>
    <s v="Not Graduate"/>
    <s v="No"/>
    <n v="2855"/>
    <n v="542"/>
    <n v="90"/>
    <n v="360"/>
    <n v="1"/>
    <s v="Urban"/>
    <n v="3397"/>
    <n v="283.08333333333331"/>
    <n v="692.02213522590023"/>
    <n v="2.4445880549634391"/>
    <s v="Low Risk"/>
    <x v="4"/>
    <s v="&lt;100"/>
    <n v="0"/>
  </r>
  <r>
    <x v="299"/>
    <s v="Male"/>
    <s v="Yes"/>
    <n v="0"/>
    <s v="Graduate"/>
    <s v="No"/>
    <n v="3016"/>
    <n v="1300"/>
    <n v="100"/>
    <n v="360"/>
    <n v="0"/>
    <s v="Urban"/>
    <n v="4316"/>
    <n v="359.66666666666669"/>
    <n v="768.91348358433368"/>
    <n v="2.1378502787330871"/>
    <s v="High Risk"/>
    <x v="4"/>
    <s v="100-200"/>
    <n v="1"/>
  </r>
  <r>
    <x v="300"/>
    <s v="Female"/>
    <s v="No"/>
    <n v="0"/>
    <s v="Graduate"/>
    <s v="No"/>
    <n v="1937"/>
    <n v="1152"/>
    <n v="78"/>
    <n v="360"/>
    <n v="1"/>
    <s v="Semiurban"/>
    <n v="3089"/>
    <n v="257.41666666666669"/>
    <n v="599.75251719578023"/>
    <n v="2.3298899988181812"/>
    <s v="Low Risk"/>
    <x v="4"/>
    <s v="&lt;100"/>
    <n v="0"/>
  </r>
  <r>
    <x v="301"/>
    <s v="Male"/>
    <s v="Yes"/>
    <n v="1"/>
    <s v="Graduate"/>
    <s v="No"/>
    <n v="3074"/>
    <n v="1083"/>
    <n v="146"/>
    <n v="360"/>
    <n v="1"/>
    <s v="Semiurban"/>
    <n v="4157"/>
    <n v="346.41666666666669"/>
    <n v="1122.6136860331271"/>
    <n v="3.240645713831495"/>
    <s v="Low Risk"/>
    <x v="4"/>
    <s v="100-200"/>
    <n v="0"/>
  </r>
  <r>
    <x v="302"/>
    <s v="Female"/>
    <s v="No"/>
    <n v="0"/>
    <s v="Graduate"/>
    <s v="No"/>
    <n v="4213"/>
    <n v="0"/>
    <n v="80"/>
    <n v="360"/>
    <n v="1"/>
    <s v="Urban"/>
    <n v="4213"/>
    <n v="351.08333333333331"/>
    <n v="615.1307868674669"/>
    <n v="1.7520933877070028"/>
    <s v="Low Risk"/>
    <x v="4"/>
    <s v="&lt;100"/>
    <n v="0"/>
  </r>
  <r>
    <x v="303"/>
    <s v="Female"/>
    <s v="No"/>
    <n v="0"/>
    <s v="Graduate"/>
    <s v="No"/>
    <n v="2362"/>
    <n v="0"/>
    <n v="55"/>
    <n v="360"/>
    <n v="1"/>
    <s v="Urban"/>
    <n v="2362"/>
    <n v="196.83333333333334"/>
    <n v="422.9024159713835"/>
    <n v="2.1485304791094841"/>
    <s v="Low Risk"/>
    <x v="4"/>
    <s v="&lt;100"/>
    <n v="0"/>
  </r>
  <r>
    <x v="304"/>
    <s v="Male"/>
    <s v="Yes"/>
    <n v="0"/>
    <s v="Graduate"/>
    <s v="No"/>
    <n v="2166"/>
    <n v="2166"/>
    <n v="108"/>
    <n v="360"/>
    <n v="0"/>
    <s v="Urban"/>
    <n v="4332"/>
    <n v="361"/>
    <n v="830.42656227108023"/>
    <n v="2.3003505880085324"/>
    <s v="High Risk"/>
    <x v="4"/>
    <s v="100-200"/>
    <n v="1"/>
  </r>
  <r>
    <x v="305"/>
    <s v="Male"/>
    <s v="Yes"/>
    <n v="2"/>
    <s v="Not Graduate"/>
    <s v="No"/>
    <n v="2896"/>
    <n v="0"/>
    <n v="80"/>
    <n v="480"/>
    <n v="1"/>
    <s v="Urban"/>
    <n v="2896"/>
    <n v="241.33333333333334"/>
    <n v="586.47525463100112"/>
    <n v="2.4301460827251429"/>
    <s v="Low Risk"/>
    <x v="4"/>
    <s v="&lt;100"/>
    <n v="0"/>
  </r>
  <r>
    <x v="306"/>
    <s v="Female"/>
    <s v="No"/>
    <n v="0"/>
    <s v="Graduate"/>
    <s v="No"/>
    <n v="2545"/>
    <n v="0"/>
    <n v="74"/>
    <n v="360"/>
    <n v="1"/>
    <s v="Urban"/>
    <n v="2545"/>
    <n v="212.08333333333334"/>
    <n v="568.9959778524069"/>
    <n v="2.6828886971429795"/>
    <s v="Low Risk"/>
    <x v="4"/>
    <s v="&lt;100"/>
    <n v="0"/>
  </r>
  <r>
    <x v="307"/>
    <s v="Male"/>
    <s v="Yes"/>
    <n v="0"/>
    <s v="Graduate"/>
    <s v="No"/>
    <n v="2553"/>
    <n v="1768"/>
    <n v="102"/>
    <n v="360"/>
    <n v="1"/>
    <s v="Urban"/>
    <n v="4321"/>
    <n v="360.08333333333331"/>
    <n v="784.29175325602023"/>
    <n v="2.1780840173738123"/>
    <s v="Low Risk"/>
    <x v="4"/>
    <s v="100-200"/>
    <n v="0"/>
  </r>
  <r>
    <x v="308"/>
    <s v="Male"/>
    <s v="Yes"/>
    <n v="0"/>
    <s v="Graduate"/>
    <s v="No"/>
    <n v="1173"/>
    <n v="1594"/>
    <n v="28"/>
    <n v="180"/>
    <n v="1"/>
    <s v="Rural"/>
    <n v="2767"/>
    <n v="230.58333333333334"/>
    <n v="275.72707621916612"/>
    <n v="1.1957805979869871"/>
    <s v="Low Risk"/>
    <x v="4"/>
    <s v="&lt;100"/>
    <n v="0"/>
  </r>
  <r>
    <x v="309"/>
    <s v="Female"/>
    <s v="Yes"/>
    <n v="0"/>
    <s v="Graduate"/>
    <s v="No"/>
    <n v="2157"/>
    <n v="1788"/>
    <n v="104"/>
    <n v="360"/>
    <n v="1"/>
    <s v="Urban"/>
    <n v="3945"/>
    <n v="328.75"/>
    <n v="799.67002292770701"/>
    <n v="2.4324563435063333"/>
    <s v="Low Risk"/>
    <x v="4"/>
    <s v="100-200"/>
    <n v="0"/>
  </r>
  <r>
    <x v="310"/>
    <s v="Male"/>
    <s v="Yes"/>
    <n v="2"/>
    <s v="Not Graduate"/>
    <s v="No"/>
    <n v="2513"/>
    <n v="1110"/>
    <n v="107"/>
    <n v="360"/>
    <n v="1"/>
    <s v="Semiurban"/>
    <n v="3623"/>
    <n v="301.91666666666669"/>
    <n v="822.73742743523701"/>
    <n v="2.7250480621647375"/>
    <s v="Low Risk"/>
    <x v="4"/>
    <s v="100-200"/>
    <n v="0"/>
  </r>
  <r>
    <x v="311"/>
    <s v="Male"/>
    <s v="No"/>
    <n v="0"/>
    <s v="Graduate"/>
    <s v="No"/>
    <n v="4333"/>
    <n v="0"/>
    <n v="66"/>
    <n v="480"/>
    <n v="1"/>
    <s v="Urban"/>
    <n v="4333"/>
    <n v="361.08333333333331"/>
    <n v="483.84208507057593"/>
    <n v="1.3399734643080803"/>
    <s v="Low Risk"/>
    <x v="4"/>
    <s v="&lt;100"/>
    <n v="0"/>
  </r>
  <r>
    <x v="312"/>
    <s v="Male"/>
    <s v="No"/>
    <n v="0"/>
    <s v="Not Graduate"/>
    <s v="No"/>
    <n v="3844"/>
    <n v="0"/>
    <n v="105"/>
    <n v="360"/>
    <n v="1"/>
    <s v="Urban"/>
    <n v="3844"/>
    <n v="320.33333333333331"/>
    <n v="807.35915776355023"/>
    <n v="2.5203719805313742"/>
    <s v="Low Risk"/>
    <x v="4"/>
    <s v="100-200"/>
    <n v="0"/>
  </r>
  <r>
    <x v="313"/>
    <s v="Male"/>
    <s v="Yes"/>
    <n v="0"/>
    <s v="Graduate"/>
    <s v="No"/>
    <n v="3510"/>
    <n v="828"/>
    <n v="105"/>
    <n v="360"/>
    <n v="1"/>
    <s v="Semiurban"/>
    <n v="4338"/>
    <n v="361.5"/>
    <n v="807.35915776355023"/>
    <n v="2.2333586660125873"/>
    <s v="Low Risk"/>
    <x v="4"/>
    <s v="100-200"/>
    <n v="0"/>
  </r>
  <r>
    <x v="314"/>
    <s v="Male"/>
    <s v="Yes"/>
    <n v="0"/>
    <s v="Graduate"/>
    <s v="No"/>
    <n v="2539"/>
    <n v="1704"/>
    <n v="125"/>
    <n v="360"/>
    <n v="0"/>
    <s v="Rural"/>
    <n v="4243"/>
    <n v="353.58333333333331"/>
    <n v="961.14185448041712"/>
    <n v="2.7182894776726387"/>
    <s v="High Risk"/>
    <x v="4"/>
    <s v="100-200"/>
    <n v="1"/>
  </r>
  <r>
    <x v="315"/>
    <s v="Female"/>
    <s v="No"/>
    <n v="0"/>
    <s v="Not Graduate"/>
    <s v="No"/>
    <n v="2107"/>
    <n v="0"/>
    <n v="64"/>
    <n v="360"/>
    <n v="1"/>
    <s v="Semiurban"/>
    <n v="2107"/>
    <n v="175.58333333333334"/>
    <n v="492.1046294939735"/>
    <n v="2.8026841736723691"/>
    <s v="Low Risk"/>
    <x v="4"/>
    <s v="&lt;100"/>
    <n v="0"/>
  </r>
  <r>
    <x v="316"/>
    <s v="Male"/>
    <s v="Yes"/>
    <n v="0"/>
    <s v="Not Graduate"/>
    <s v="Yes"/>
    <n v="3943"/>
    <n v="0"/>
    <n v="64"/>
    <n v="360"/>
    <n v="1"/>
    <s v="Semiurban"/>
    <n v="3943"/>
    <n v="328.58333333333331"/>
    <n v="492.1046294939735"/>
    <n v="1.4976554790585044"/>
    <s v="Low Risk"/>
    <x v="4"/>
    <s v="&lt;100"/>
    <n v="0"/>
  </r>
  <r>
    <x v="317"/>
    <s v="Male"/>
    <s v="No"/>
    <n v="0"/>
    <s v="Graduate"/>
    <s v="No"/>
    <n v="2925"/>
    <n v="0"/>
    <n v="40"/>
    <n v="180"/>
    <n v="1"/>
    <s v="Rural"/>
    <n v="2925"/>
    <n v="243.75"/>
    <n v="393.89582317023729"/>
    <n v="1.6159828642881531"/>
    <s v="Low Risk"/>
    <x v="4"/>
    <s v="&lt;100"/>
    <n v="0"/>
  </r>
  <r>
    <x v="318"/>
    <s v="Male"/>
    <s v="Yes"/>
    <n v="3"/>
    <s v="Graduate"/>
    <s v="No"/>
    <n v="3242"/>
    <n v="437"/>
    <n v="142"/>
    <n v="480"/>
    <n v="0"/>
    <s v="Urban"/>
    <n v="3679"/>
    <n v="306.58333333333331"/>
    <n v="1040.9935769700271"/>
    <n v="3.39546695396584"/>
    <s v="High Risk"/>
    <x v="4"/>
    <s v="100-200"/>
    <n v="1"/>
  </r>
  <r>
    <x v="319"/>
    <s v="Male"/>
    <s v="Yes"/>
    <n v="0"/>
    <s v="Graduate"/>
    <s v="No"/>
    <n v="3863"/>
    <n v="0"/>
    <n v="70"/>
    <n v="300"/>
    <n v="1"/>
    <s v="Semiurban"/>
    <n v="3863"/>
    <n v="321.91666666666669"/>
    <n v="563.65895842349187"/>
    <n v="1.7509468032829154"/>
    <s v="Low Risk"/>
    <x v="4"/>
    <s v="&lt;100"/>
    <n v="0"/>
  </r>
  <r>
    <x v="320"/>
    <s v="Female"/>
    <s v="No"/>
    <n v="1"/>
    <s v="Graduate"/>
    <s v="No"/>
    <n v="4028"/>
    <n v="0"/>
    <n v="131"/>
    <n v="360"/>
    <n v="1"/>
    <s v="Semiurban"/>
    <n v="4028"/>
    <n v="335.66666666666669"/>
    <n v="1007.2766634954771"/>
    <n v="3.0008242209398523"/>
    <s v="Low Risk"/>
    <x v="4"/>
    <s v="100-200"/>
    <n v="0"/>
  </r>
  <r>
    <x v="321"/>
    <s v="Male"/>
    <s v="No"/>
    <n v="0"/>
    <s v="Graduate"/>
    <s v="No"/>
    <n v="2858"/>
    <n v="0"/>
    <n v="123"/>
    <n v="360"/>
    <n v="0"/>
    <s v="Rural"/>
    <n v="2858"/>
    <n v="238.16666666666666"/>
    <n v="945.76358480873034"/>
    <n v="3.9710157514712261"/>
    <s v="High Risk"/>
    <x v="4"/>
    <s v="100-200"/>
    <n v="1"/>
  </r>
  <r>
    <x v="322"/>
    <s v="Female"/>
    <s v="Yes"/>
    <n v="0"/>
    <s v="Graduate"/>
    <s v="No"/>
    <n v="3833"/>
    <n v="0"/>
    <n v="92"/>
    <n v="360"/>
    <n v="1"/>
    <s v="Rural"/>
    <n v="3833"/>
    <n v="319.41666666666669"/>
    <n v="707.4004048975869"/>
    <n v="2.2146634121500242"/>
    <s v="Low Risk"/>
    <x v="4"/>
    <s v="&lt;100"/>
    <n v="0"/>
  </r>
  <r>
    <x v="323"/>
    <s v="Male"/>
    <s v="Yes"/>
    <n v="0"/>
    <s v="Graduate"/>
    <s v="No"/>
    <n v="2982"/>
    <n v="1550"/>
    <n v="110"/>
    <n v="360"/>
    <n v="1"/>
    <s v="Semiurban"/>
    <n v="4532"/>
    <n v="377.66666666666669"/>
    <n v="845.80483194276701"/>
    <n v="2.2395538356825249"/>
    <s v="Low Risk"/>
    <x v="4"/>
    <s v="100-200"/>
    <n v="0"/>
  </r>
  <r>
    <x v="324"/>
    <s v="Male"/>
    <s v="No"/>
    <n v="0"/>
    <s v="Graduate"/>
    <s v="No"/>
    <n v="3417"/>
    <n v="738"/>
    <n v="100"/>
    <n v="360"/>
    <n v="0"/>
    <s v="Rural"/>
    <n v="4155"/>
    <n v="346.25"/>
    <n v="768.91348358433368"/>
    <n v="2.2206887612543933"/>
    <s v="High Risk"/>
    <x v="4"/>
    <s v="100-200"/>
    <n v="1"/>
  </r>
  <r>
    <x v="325"/>
    <s v="Male"/>
    <s v="Yes"/>
    <n v="2"/>
    <s v="Graduate"/>
    <s v="No"/>
    <n v="2995"/>
    <n v="1120"/>
    <n v="184"/>
    <n v="360"/>
    <n v="1"/>
    <s v="Rural"/>
    <n v="4115"/>
    <n v="342.91666666666669"/>
    <n v="1414.8008097951738"/>
    <n v="4.1257860795971046"/>
    <s v="Low Risk"/>
    <x v="4"/>
    <s v="100-200"/>
    <n v="0"/>
  </r>
  <r>
    <x v="326"/>
    <s v="Male"/>
    <s v="No"/>
    <n v="0"/>
    <s v="Graduate"/>
    <s v="No"/>
    <n v="3508"/>
    <n v="0"/>
    <n v="99"/>
    <n v="360"/>
    <n v="1"/>
    <s v="Rural"/>
    <n v="3508"/>
    <n v="292.33333333333331"/>
    <n v="761.22434874849023"/>
    <n v="2.6039601439515061"/>
    <s v="Low Risk"/>
    <x v="4"/>
    <s v="&lt;100"/>
    <n v="0"/>
  </r>
  <r>
    <x v="327"/>
    <s v="Female"/>
    <s v="Yes"/>
    <n v="3"/>
    <s v="Not Graduate"/>
    <s v="No"/>
    <n v="1635"/>
    <n v="2444"/>
    <n v="99"/>
    <n v="360"/>
    <n v="1"/>
    <s v="Urban"/>
    <n v="4079"/>
    <n v="339.91666666666669"/>
    <n v="761.22434874849023"/>
    <n v="2.239444026717794"/>
    <s v="Low Risk"/>
    <x v="4"/>
    <s v="&lt;100"/>
    <n v="0"/>
  </r>
  <r>
    <x v="328"/>
    <s v="Female"/>
    <s v="No"/>
    <n v="0"/>
    <s v="Graduate"/>
    <s v="No"/>
    <n v="3500"/>
    <n v="0"/>
    <n v="94"/>
    <n v="360"/>
    <n v="0"/>
    <s v="Semiurban"/>
    <n v="3500"/>
    <n v="291.66666666666669"/>
    <n v="722.77867456927368"/>
    <n v="2.478098312808938"/>
    <s v="High Risk"/>
    <x v="4"/>
    <s v="&lt;100"/>
    <n v="1"/>
  </r>
  <r>
    <x v="329"/>
    <s v="Male"/>
    <s v="Yes"/>
    <n v="3"/>
    <s v="Graduate"/>
    <s v="No"/>
    <n v="2773"/>
    <n v="1497"/>
    <n v="108"/>
    <n v="360"/>
    <n v="1"/>
    <s v="Semiurban"/>
    <n v="4270"/>
    <n v="355.83333333333331"/>
    <n v="830.42656227108023"/>
    <n v="2.3337514630568998"/>
    <s v="Low Risk"/>
    <x v="4"/>
    <s v="100-200"/>
    <n v="0"/>
  </r>
  <r>
    <x v="330"/>
    <s v="Male"/>
    <s v="Yes"/>
    <n v="3"/>
    <s v="Not Graduate"/>
    <s v="No"/>
    <n v="3634"/>
    <n v="910"/>
    <n v="176"/>
    <n v="360"/>
    <n v="0"/>
    <s v="Semiurban"/>
    <n v="4544"/>
    <n v="378.66666666666669"/>
    <n v="1353.2877311084274"/>
    <n v="3.5738232335609874"/>
    <s v="High Risk"/>
    <x v="4"/>
    <s v="100-200"/>
    <n v="1"/>
  </r>
  <r>
    <x v="331"/>
    <s v="Male"/>
    <s v="No"/>
    <n v="0"/>
    <s v="Graduate"/>
    <s v="No"/>
    <n v="2166"/>
    <n v="2057"/>
    <n v="122"/>
    <n v="360"/>
    <n v="1"/>
    <s v="Semiurban"/>
    <n v="4223"/>
    <n v="351.91666666666669"/>
    <n v="938.07444997288701"/>
    <n v="2.6656152971050542"/>
    <s v="Low Risk"/>
    <x v="4"/>
    <s v="100-200"/>
    <n v="0"/>
  </r>
  <r>
    <x v="332"/>
    <s v="Male"/>
    <s v="Yes"/>
    <n v="0"/>
    <s v="Not Graduate"/>
    <s v="No"/>
    <n v="2157"/>
    <n v="2730"/>
    <n v="140"/>
    <n v="360"/>
    <n v="0"/>
    <s v="Rural"/>
    <n v="4887"/>
    <n v="407.25"/>
    <n v="1076.4788770180671"/>
    <n v="2.6432876047098026"/>
    <s v="High Risk"/>
    <x v="4"/>
    <s v="100-200"/>
    <n v="1"/>
  </r>
  <r>
    <x v="333"/>
    <s v="Male"/>
    <s v="No"/>
    <n v="0"/>
    <s v="Graduate"/>
    <s v="No"/>
    <n v="4983"/>
    <n v="0"/>
    <n v="141"/>
    <n v="360"/>
    <n v="1"/>
    <s v="Urban"/>
    <n v="4983"/>
    <n v="415.25"/>
    <n v="1084.1680118539102"/>
    <n v="2.6108802212014695"/>
    <s v="Low Risk"/>
    <x v="4"/>
    <s v="100-200"/>
    <n v="0"/>
  </r>
  <r>
    <x v="334"/>
    <s v="Male"/>
    <s v="No"/>
    <n v="0"/>
    <s v="Not Graduate"/>
    <s v="No"/>
    <n v="3271"/>
    <n v="0"/>
    <n v="90"/>
    <n v="360"/>
    <n v="1"/>
    <s v="Rural"/>
    <n v="3271"/>
    <n v="272.58333333333331"/>
    <n v="692.02213522590023"/>
    <n v="2.5387543939806796"/>
    <s v="Low Risk"/>
    <x v="4"/>
    <s v="&lt;100"/>
    <n v="0"/>
  </r>
  <r>
    <x v="335"/>
    <s v="Female"/>
    <s v="Yes"/>
    <n v="0"/>
    <s v="Graduate"/>
    <s v="No"/>
    <n v="2241"/>
    <n v="2000"/>
    <n v="88"/>
    <n v="360"/>
    <n v="0"/>
    <s v="Urban"/>
    <n v="4241"/>
    <n v="353.41666666666669"/>
    <n v="676.64386555421368"/>
    <n v="1.9145782566966667"/>
    <s v="High Risk"/>
    <x v="4"/>
    <s v="&lt;100"/>
    <n v="1"/>
  </r>
  <r>
    <x v="336"/>
    <s v="Male"/>
    <s v="Yes"/>
    <n v="1"/>
    <s v="Not Graduate"/>
    <s v="No"/>
    <n v="1792"/>
    <n v="2565"/>
    <n v="128"/>
    <n v="360"/>
    <n v="1"/>
    <s v="Urban"/>
    <n v="4357"/>
    <n v="363.08333333333331"/>
    <n v="984.20925898794701"/>
    <n v="2.7106979820645778"/>
    <s v="Low Risk"/>
    <x v="4"/>
    <s v="100-200"/>
    <n v="0"/>
  </r>
  <r>
    <x v="337"/>
    <s v="Female"/>
    <s v="Yes"/>
    <n v="0"/>
    <s v="Graduate"/>
    <s v="No"/>
    <n v="2666"/>
    <n v="0"/>
    <n v="84"/>
    <n v="480"/>
    <n v="1"/>
    <s v="Semiurban"/>
    <n v="2666"/>
    <n v="222.16666666666666"/>
    <n v="615.79901736255124"/>
    <n v="2.7717885252627963"/>
    <s v="Low Risk"/>
    <x v="4"/>
    <s v="&lt;100"/>
    <n v="0"/>
  </r>
  <r>
    <x v="338"/>
    <s v="Male"/>
    <s v="No"/>
    <n v="0"/>
    <s v="Not Graduate"/>
    <s v="No"/>
    <n v="3808"/>
    <n v="0"/>
    <n v="83"/>
    <n v="360"/>
    <n v="1"/>
    <s v="Rural"/>
    <n v="3808"/>
    <n v="317.33333333333331"/>
    <n v="638.1981913749969"/>
    <n v="2.0111287543329737"/>
    <s v="Low Risk"/>
    <x v="4"/>
    <s v="&lt;100"/>
    <n v="0"/>
  </r>
  <r>
    <x v="339"/>
    <s v="Female"/>
    <s v="Yes"/>
    <n v="2"/>
    <s v="Not Graduate"/>
    <s v="No"/>
    <n v="3729"/>
    <n v="0"/>
    <n v="117"/>
    <n v="360"/>
    <n v="1"/>
    <s v="Semiurban"/>
    <n v="3729"/>
    <n v="310.75"/>
    <n v="899.62877579367034"/>
    <n v="2.8950242181614492"/>
    <s v="Low Risk"/>
    <x v="4"/>
    <s v="100-200"/>
    <n v="0"/>
  </r>
  <r>
    <x v="340"/>
    <s v="Male"/>
    <s v="Yes"/>
    <n v="2"/>
    <s v="Graduate"/>
    <s v="No"/>
    <n v="4120"/>
    <n v="0"/>
    <n v="128"/>
    <n v="360"/>
    <n v="1"/>
    <s v="Rural"/>
    <n v="4120"/>
    <n v="343.33333333333331"/>
    <n v="984.20925898794701"/>
    <n v="2.8666289096736324"/>
    <s v="Low Risk"/>
    <x v="4"/>
    <s v="100-200"/>
    <n v="0"/>
  </r>
  <r>
    <x v="341"/>
    <s v="Male"/>
    <s v="Yes"/>
    <n v="1"/>
    <s v="Not Graduate"/>
    <s v="Yes"/>
    <n v="570"/>
    <n v="2125"/>
    <n v="68"/>
    <n v="360"/>
    <n v="1"/>
    <s v="Rural"/>
    <n v="2695"/>
    <n v="224.58333333333334"/>
    <n v="522.8611688373469"/>
    <n v="2.3281387851755704"/>
    <s v="Low Risk"/>
    <x v="4"/>
    <s v="&lt;100"/>
    <n v="0"/>
  </r>
  <r>
    <x v="342"/>
    <s v="Male"/>
    <s v="Yes"/>
    <n v="0"/>
    <s v="Graduate"/>
    <s v="No"/>
    <n v="2600"/>
    <n v="700"/>
    <n v="96"/>
    <n v="360"/>
    <n v="1"/>
    <s v="Semiurban"/>
    <n v="3300"/>
    <n v="275"/>
    <n v="738.15694424096023"/>
    <n v="2.6842070699671283"/>
    <s v="Low Risk"/>
    <x v="4"/>
    <s v="&lt;100"/>
    <n v="0"/>
  </r>
  <r>
    <x v="343"/>
    <s v="Male"/>
    <s v="No"/>
    <n v="2"/>
    <s v="Not Graduate"/>
    <s v="No"/>
    <n v="2733"/>
    <n v="1083"/>
    <n v="180"/>
    <n v="360"/>
    <n v="0"/>
    <s v="Semiurban"/>
    <n v="3816"/>
    <n v="318"/>
    <n v="1384.0442704518005"/>
    <n v="4.3523404731188693"/>
    <s v="High Risk"/>
    <x v="4"/>
    <s v="100-200"/>
    <n v="1"/>
  </r>
  <r>
    <x v="344"/>
    <s v="Male"/>
    <s v="Yes"/>
    <n v="2"/>
    <s v="Not Graduate"/>
    <s v="No"/>
    <n v="3859"/>
    <n v="0"/>
    <n v="121"/>
    <n v="360"/>
    <n v="1"/>
    <s v="Rural"/>
    <n v="3859"/>
    <n v="321.58333333333331"/>
    <n v="930.38531513704368"/>
    <n v="2.8931390986381249"/>
    <s v="Low Risk"/>
    <x v="4"/>
    <s v="100-200"/>
    <n v="0"/>
  </r>
  <r>
    <x v="345"/>
    <s v="Male"/>
    <s v="No"/>
    <n v="0"/>
    <s v="Graduate"/>
    <s v="No"/>
    <n v="2066"/>
    <n v="2108"/>
    <n v="104"/>
    <n v="84"/>
    <n v="1"/>
    <s v="Urban"/>
    <n v="4174"/>
    <n v="347.83333333333331"/>
    <n v="1646.9944854626324"/>
    <n v="4.7350104996529927"/>
    <s v="Low Risk"/>
    <x v="4"/>
    <s v="100-200"/>
    <n v="0"/>
  </r>
  <r>
    <x v="346"/>
    <s v="Female"/>
    <s v="No"/>
    <n v="0"/>
    <s v="Graduate"/>
    <s v="No"/>
    <n v="3767"/>
    <n v="0"/>
    <n v="134"/>
    <n v="300"/>
    <n v="1"/>
    <s v="Urban"/>
    <n v="3767"/>
    <n v="313.91666666666669"/>
    <n v="1079.0042918392558"/>
    <n v="3.4372316172208834"/>
    <s v="Low Risk"/>
    <x v="4"/>
    <s v="100-200"/>
    <n v="0"/>
  </r>
  <r>
    <x v="347"/>
    <s v="Female"/>
    <s v="Yes"/>
    <n v="0"/>
    <s v="Graduate"/>
    <s v="No"/>
    <n v="4283"/>
    <n v="0"/>
    <n v="120"/>
    <n v="360"/>
    <n v="1"/>
    <s v="Rural"/>
    <n v="4283"/>
    <n v="356.91666666666669"/>
    <n v="922.69618030120034"/>
    <n v="2.5851865896834938"/>
    <s v="Low Risk"/>
    <x v="4"/>
    <s v="100-200"/>
    <n v="0"/>
  </r>
  <r>
    <x v="348"/>
    <s v="Male"/>
    <s v="Yes"/>
    <n v="0"/>
    <s v="Not Graduate"/>
    <s v="No"/>
    <n v="1700"/>
    <n v="2900"/>
    <n v="67"/>
    <n v="360"/>
    <n v="0"/>
    <s v="Urban"/>
    <n v="4600"/>
    <n v="383.33333333333331"/>
    <n v="515.17203400150356"/>
    <n v="1.3439270452213137"/>
    <s v="High Risk"/>
    <x v="4"/>
    <s v="&lt;100"/>
    <n v="1"/>
  </r>
  <r>
    <x v="349"/>
    <s v="Male"/>
    <s v="No"/>
    <n v="0"/>
    <s v="Not Graduate"/>
    <s v="No"/>
    <n v="4768"/>
    <n v="0"/>
    <n v="125"/>
    <n v="360"/>
    <n v="1"/>
    <s v="Rural"/>
    <n v="4768"/>
    <n v="397.33333333333331"/>
    <n v="961.14185448041712"/>
    <n v="2.4189811773836003"/>
    <s v="Low Risk"/>
    <x v="4"/>
    <s v="100-200"/>
    <n v="0"/>
  </r>
  <r>
    <x v="350"/>
    <s v="Male"/>
    <s v="Yes"/>
    <n v="1"/>
    <s v="Graduate"/>
    <s v="No"/>
    <n v="2667"/>
    <n v="1542"/>
    <n v="148"/>
    <n v="360"/>
    <n v="1"/>
    <s v="Rural"/>
    <n v="4209"/>
    <n v="350.75"/>
    <n v="1137.9919557048138"/>
    <n v="3.2444531880393837"/>
    <s v="Low Risk"/>
    <x v="4"/>
    <s v="100-200"/>
    <n v="0"/>
  </r>
  <r>
    <x v="351"/>
    <s v="Female"/>
    <s v="Yes"/>
    <n v="0"/>
    <s v="Not Graduate"/>
    <s v="No"/>
    <n v="1647"/>
    <n v="1762"/>
    <n v="181"/>
    <n v="360"/>
    <n v="1"/>
    <s v="Urban"/>
    <n v="3409"/>
    <n v="284.08333333333331"/>
    <n v="1391.7334052876438"/>
    <n v="4.8990322274719054"/>
    <s v="Low Risk"/>
    <x v="4"/>
    <s v="100-200"/>
    <n v="0"/>
  </r>
  <r>
    <x v="352"/>
    <s v="Male"/>
    <s v="Yes"/>
    <n v="3"/>
    <s v="Graduate"/>
    <s v="No"/>
    <n v="3400"/>
    <n v="0"/>
    <n v="80"/>
    <n v="120"/>
    <n v="1"/>
    <s v="Urban"/>
    <n v="3400"/>
    <n v="283.33333333333331"/>
    <n v="991.88551099608901"/>
    <n v="3.5007723917509028"/>
    <s v="Low Risk"/>
    <x v="4"/>
    <s v="&lt;100"/>
    <n v="0"/>
  </r>
  <r>
    <x v="353"/>
    <s v="Male"/>
    <s v="Yes"/>
    <n v="1"/>
    <s v="Not Graduate"/>
    <s v="No"/>
    <n v="2600"/>
    <n v="618"/>
    <n v="122"/>
    <n v="360"/>
    <n v="1"/>
    <s v="Semiurban"/>
    <n v="3218"/>
    <n v="268.16666666666669"/>
    <n v="938.07444997288701"/>
    <n v="3.4981023616142459"/>
    <s v="Low Risk"/>
    <x v="4"/>
    <s v="100-200"/>
    <n v="0"/>
  </r>
  <r>
    <x v="354"/>
    <s v="Female"/>
    <s v="Yes"/>
    <n v="0"/>
    <s v="Graduate"/>
    <s v="No"/>
    <n v="4709"/>
    <n v="0"/>
    <n v="113"/>
    <n v="360"/>
    <n v="1"/>
    <s v="Semiurban"/>
    <n v="4709"/>
    <n v="392.41666666666669"/>
    <n v="868.87223645029701"/>
    <n v="2.2141573237212917"/>
    <s v="Low Risk"/>
    <x v="4"/>
    <s v="100-200"/>
    <n v="0"/>
  </r>
  <r>
    <x v="355"/>
    <s v="Male"/>
    <s v="Yes"/>
    <n v="0"/>
    <s v="Graduate"/>
    <s v="No"/>
    <n v="1516"/>
    <n v="1951"/>
    <n v="35"/>
    <n v="360"/>
    <n v="1"/>
    <s v="Semiurban"/>
    <n v="3467"/>
    <n v="288.91666666666669"/>
    <n v="269.11971925451678"/>
    <n v="0.9314786936989331"/>
    <s v="Low Risk"/>
    <x v="4"/>
    <s v="&lt;100"/>
    <n v="0"/>
  </r>
  <r>
    <x v="356"/>
    <s v="Male"/>
    <s v="No"/>
    <n v="2"/>
    <s v="Graduate"/>
    <s v="No"/>
    <n v="2400"/>
    <n v="0"/>
    <n v="46"/>
    <n v="360"/>
    <n v="1"/>
    <s v="Urban"/>
    <n v="2400"/>
    <n v="200"/>
    <n v="353.70020244879345"/>
    <n v="1.7685010122439673"/>
    <s v="Low Risk"/>
    <x v="4"/>
    <s v="&lt;100"/>
    <n v="0"/>
  </r>
  <r>
    <x v="357"/>
    <s v="Male"/>
    <s v="Yes"/>
    <n v="0"/>
    <s v="Graduate"/>
    <s v="No"/>
    <n v="2292"/>
    <n v="1558"/>
    <n v="119"/>
    <n v="360"/>
    <n v="1"/>
    <s v="Urban"/>
    <n v="3850"/>
    <n v="320.83333333333331"/>
    <n v="915.00704546535701"/>
    <n v="2.8519700118400739"/>
    <s v="Low Risk"/>
    <x v="4"/>
    <s v="100-200"/>
    <n v="0"/>
  </r>
  <r>
    <x v="358"/>
    <s v="Male"/>
    <s v="Yes"/>
    <n v="3"/>
    <s v="Not Graduate"/>
    <s v="No"/>
    <n v="3522"/>
    <n v="0"/>
    <n v="81"/>
    <n v="180"/>
    <n v="1"/>
    <s v="Rural"/>
    <n v="3522"/>
    <n v="293.5"/>
    <n v="797.63904191973052"/>
    <n v="2.7176798702546185"/>
    <s v="Low Risk"/>
    <x v="4"/>
    <s v="&lt;100"/>
    <n v="0"/>
  </r>
  <r>
    <x v="359"/>
    <s v="Male"/>
    <s v="Yes"/>
    <n v="1"/>
    <s v="Graduate"/>
    <s v="No"/>
    <n v="4700"/>
    <n v="0"/>
    <n v="80"/>
    <n v="360"/>
    <n v="1"/>
    <s v="Urban"/>
    <n v="4700"/>
    <n v="391.66666666666669"/>
    <n v="615.1307868674669"/>
    <n v="1.5705466898743834"/>
    <s v="Low Risk"/>
    <x v="4"/>
    <s v="&lt;100"/>
    <n v="0"/>
  </r>
  <r>
    <x v="360"/>
    <s v="Male"/>
    <s v="No"/>
    <n v="0"/>
    <s v="Not Graduate"/>
    <s v="No"/>
    <n v="2868"/>
    <n v="0"/>
    <n v="70"/>
    <n v="360"/>
    <n v="1"/>
    <s v="Urban"/>
    <n v="2868"/>
    <n v="239"/>
    <n v="538.23943850903356"/>
    <n v="2.2520478598704332"/>
    <s v="Low Risk"/>
    <x v="4"/>
    <s v="&lt;100"/>
    <n v="0"/>
  </r>
  <r>
    <x v="361"/>
    <s v="Male"/>
    <s v="Yes"/>
    <n v="2"/>
    <s v="Not Graduate"/>
    <s v="No"/>
    <n v="3418"/>
    <n v="1380"/>
    <n v="135"/>
    <n v="360"/>
    <n v="1"/>
    <s v="Urban"/>
    <n v="4798"/>
    <n v="399.83333333333331"/>
    <n v="1038.0332028388502"/>
    <n v="2.5961647424064616"/>
    <s v="Low Risk"/>
    <x v="4"/>
    <s v="100-200"/>
    <n v="0"/>
  </r>
  <r>
    <x v="362"/>
    <s v="Male"/>
    <s v="Yes"/>
    <n v="0"/>
    <s v="Graduate"/>
    <s v="Yes"/>
    <n v="2500"/>
    <n v="296"/>
    <n v="137"/>
    <n v="300"/>
    <n v="1"/>
    <s v="Rural"/>
    <n v="2796"/>
    <n v="233"/>
    <n v="1103.1611043431199"/>
    <n v="4.7345970143481537"/>
    <s v="Low Risk"/>
    <x v="4"/>
    <s v="100-200"/>
    <n v="0"/>
  </r>
  <r>
    <x v="363"/>
    <s v="Male"/>
    <s v="No"/>
    <n v="0"/>
    <s v="Graduate"/>
    <s v="No"/>
    <n v="2500"/>
    <n v="0"/>
    <n v="60"/>
    <n v="360"/>
    <n v="1"/>
    <s v="Urban"/>
    <n v="2500"/>
    <n v="208.33333333333334"/>
    <n v="461.34809015060017"/>
    <n v="2.2144708327228808"/>
    <s v="Low Risk"/>
    <x v="4"/>
    <s v="&lt;100"/>
    <n v="0"/>
  </r>
  <r>
    <x v="364"/>
    <s v="Male"/>
    <s v="Yes"/>
    <n v="2"/>
    <s v="Not Graduate"/>
    <s v="No"/>
    <n v="3132"/>
    <n v="0"/>
    <n v="76"/>
    <n v="360"/>
    <n v="0"/>
    <s v="Rural"/>
    <n v="3132"/>
    <n v="261"/>
    <n v="584.37424752409356"/>
    <n v="2.238981791280052"/>
    <s v="High Risk"/>
    <x v="4"/>
    <s v="&lt;100"/>
    <n v="1"/>
  </r>
  <r>
    <x v="365"/>
    <s v="Male"/>
    <s v="Yes"/>
    <n v="1"/>
    <s v="Graduate"/>
    <s v="No"/>
    <n v="2269"/>
    <n v="2167"/>
    <n v="99"/>
    <n v="360"/>
    <n v="1"/>
    <s v="Semiurban"/>
    <n v="4436"/>
    <n v="369.66666666666669"/>
    <n v="761.22434874849023"/>
    <n v="2.0592182563079087"/>
    <s v="Low Risk"/>
    <x v="4"/>
    <s v="&lt;100"/>
    <n v="0"/>
  </r>
  <r>
    <x v="366"/>
    <s v="Male"/>
    <s v="Yes"/>
    <n v="0"/>
    <s v="Graduate"/>
    <s v="No"/>
    <n v="4158"/>
    <n v="709"/>
    <n v="115"/>
    <n v="360"/>
    <n v="1"/>
    <s v="Urban"/>
    <n v="4867"/>
    <n v="405.58333333333331"/>
    <n v="884.25050612198368"/>
    <n v="2.1801943853428818"/>
    <s v="Low Risk"/>
    <x v="4"/>
    <s v="100-20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s v="Male"/>
    <s v="Yes"/>
    <n v="0"/>
    <s v="Graduate"/>
    <s v="No"/>
    <n v="5720"/>
    <n v="0"/>
    <n v="110"/>
    <n v="360"/>
    <n v="1"/>
    <s v="Urban"/>
    <n v="5720"/>
    <n v="476.66666666666669"/>
    <n v="845.80483194276701"/>
    <n v="1.7744157313484621"/>
    <s v="Low Risk"/>
    <s v="5k-10k"/>
    <x v="0"/>
    <n v="0"/>
    <x v="0"/>
  </r>
  <r>
    <x v="1"/>
    <s v="Male"/>
    <s v="Yes"/>
    <n v="2"/>
    <s v="Graduate"/>
    <s v="No"/>
    <n v="5000"/>
    <n v="1800"/>
    <n v="208"/>
    <n v="360"/>
    <n v="1"/>
    <s v="Urban"/>
    <n v="6800"/>
    <n v="566.66666666666663"/>
    <n v="1599.340045855414"/>
    <n v="2.8223647868036719"/>
    <s v="Low Risk"/>
    <s v="5k-10k"/>
    <x v="1"/>
    <n v="0"/>
    <x v="0"/>
  </r>
  <r>
    <x v="2"/>
    <s v="Male"/>
    <s v="Yes"/>
    <n v="0"/>
    <s v="Not Graduate"/>
    <s v="Yes"/>
    <n v="2165"/>
    <n v="3422"/>
    <n v="152"/>
    <n v="360"/>
    <n v="1"/>
    <s v="Urban"/>
    <n v="5587"/>
    <n v="465.58333333333331"/>
    <n v="1168.7484950481871"/>
    <n v="2.510288516301816"/>
    <s v="Low Risk"/>
    <s v="5k-10k"/>
    <x v="0"/>
    <n v="0"/>
    <x v="0"/>
  </r>
  <r>
    <x v="3"/>
    <s v="Male"/>
    <s v="No"/>
    <n v="1"/>
    <s v="Graduate"/>
    <s v="No"/>
    <n v="5667"/>
    <n v="0"/>
    <n v="131"/>
    <n v="360"/>
    <n v="1"/>
    <s v="Urban"/>
    <n v="5667"/>
    <n v="472.25"/>
    <n v="1007.2766634954771"/>
    <n v="2.1329309973435198"/>
    <s v="Low Risk"/>
    <s v="5k-10k"/>
    <x v="0"/>
    <n v="0"/>
    <x v="0"/>
  </r>
  <r>
    <x v="4"/>
    <s v="Male"/>
    <s v="Yes"/>
    <n v="2"/>
    <s v="Graduate"/>
    <s v="No"/>
    <n v="4583"/>
    <n v="2916"/>
    <n v="200"/>
    <n v="360"/>
    <n v="1"/>
    <s v="Urban"/>
    <n v="7499"/>
    <n v="624.91666666666663"/>
    <n v="1537.8269671686674"/>
    <n v="2.4608512609713307"/>
    <s v="Low Risk"/>
    <s v="5k-10k"/>
    <x v="1"/>
    <n v="0"/>
    <x v="0"/>
  </r>
  <r>
    <x v="5"/>
    <s v="Male"/>
    <s v="Yes"/>
    <n v="0"/>
    <s v="Graduate"/>
    <s v="No"/>
    <n v="5400"/>
    <n v="4380"/>
    <n v="290"/>
    <n v="360"/>
    <n v="1"/>
    <s v="Urban"/>
    <n v="9780"/>
    <n v="815"/>
    <n v="2229.8491023945676"/>
    <n v="2.7360111685822917"/>
    <s v="Low Risk"/>
    <s v="5k-10k"/>
    <x v="1"/>
    <n v="0"/>
    <x v="0"/>
  </r>
  <r>
    <x v="6"/>
    <s v="Male"/>
    <s v="Yes"/>
    <n v="2"/>
    <s v="Graduate"/>
    <s v="No"/>
    <n v="4363"/>
    <n v="1250"/>
    <n v="140"/>
    <n v="360"/>
    <n v="0"/>
    <s v="Urban"/>
    <n v="5613"/>
    <n v="467.75"/>
    <n v="1076.4788770180671"/>
    <n v="2.3013979198675942"/>
    <s v="High Risk"/>
    <s v="5k-10k"/>
    <x v="0"/>
    <n v="1"/>
    <x v="0"/>
  </r>
  <r>
    <x v="7"/>
    <s v="Male"/>
    <s v="No"/>
    <n v="0"/>
    <s v="Graduate"/>
    <s v="No"/>
    <n v="2942"/>
    <n v="2382"/>
    <n v="125"/>
    <n v="180"/>
    <n v="1"/>
    <s v="Urban"/>
    <n v="5324"/>
    <n v="443.66666666666669"/>
    <n v="1230.9244474069915"/>
    <n v="2.774435268385405"/>
    <s v="Low Risk"/>
    <s v="5k-10k"/>
    <x v="0"/>
    <n v="0"/>
    <x v="0"/>
  </r>
  <r>
    <x v="8"/>
    <s v="Male"/>
    <s v="Yes"/>
    <n v="2"/>
    <s v="Graduate"/>
    <s v="No"/>
    <n v="6250"/>
    <n v="820"/>
    <n v="192"/>
    <n v="360"/>
    <n v="1"/>
    <s v="Urban"/>
    <n v="7070"/>
    <n v="589.16666666666663"/>
    <n v="1476.3138884819205"/>
    <n v="2.5057661473526234"/>
    <s v="Low Risk"/>
    <s v="5k-10k"/>
    <x v="0"/>
    <n v="0"/>
    <x v="0"/>
  </r>
  <r>
    <x v="9"/>
    <s v="Male"/>
    <s v="Yes"/>
    <n v="0"/>
    <s v="Graduate"/>
    <s v="No"/>
    <n v="2783"/>
    <n v="2708"/>
    <n v="158"/>
    <n v="360"/>
    <n v="1"/>
    <s v="Urban"/>
    <n v="5491"/>
    <n v="457.58333333333331"/>
    <n v="1214.8833040632471"/>
    <n v="2.6549990254523705"/>
    <s v="Low Risk"/>
    <s v="5k-10k"/>
    <x v="0"/>
    <n v="0"/>
    <x v="0"/>
  </r>
  <r>
    <x v="10"/>
    <s v="Male"/>
    <s v="Yes"/>
    <n v="0"/>
    <s v="Graduate"/>
    <s v="Yes"/>
    <n v="2267"/>
    <n v="2792"/>
    <n v="90"/>
    <n v="360"/>
    <n v="1"/>
    <s v="Urban"/>
    <n v="5059"/>
    <n v="421.58333333333331"/>
    <n v="692.02213522590023"/>
    <n v="1.6414836178515129"/>
    <s v="Low Risk"/>
    <s v="5k-10k"/>
    <x v="2"/>
    <n v="0"/>
    <x v="0"/>
  </r>
  <r>
    <x v="11"/>
    <s v="Male"/>
    <s v="No"/>
    <n v="0"/>
    <s v="Graduate"/>
    <s v="Yes"/>
    <n v="5833"/>
    <n v="0"/>
    <n v="116"/>
    <n v="360"/>
    <n v="1"/>
    <s v="Urban"/>
    <n v="5833"/>
    <n v="486.08333333333331"/>
    <n v="891.93964095782701"/>
    <n v="1.8349521158055759"/>
    <s v="Low Risk"/>
    <s v="5k-10k"/>
    <x v="0"/>
    <n v="0"/>
    <x v="0"/>
  </r>
  <r>
    <x v="12"/>
    <s v="Male"/>
    <s v="No"/>
    <n v="0"/>
    <s v="Graduate"/>
    <s v="No"/>
    <n v="3643"/>
    <n v="1963"/>
    <n v="138"/>
    <n v="360"/>
    <n v="1"/>
    <s v="Urban"/>
    <n v="5606"/>
    <n v="467.16666666666669"/>
    <n v="1061.1006073463805"/>
    <n v="2.2713534227892551"/>
    <s v="Low Risk"/>
    <s v="5k-10k"/>
    <x v="0"/>
    <n v="0"/>
    <x v="0"/>
  </r>
  <r>
    <x v="13"/>
    <s v="Male"/>
    <s v="Yes"/>
    <n v="0"/>
    <s v="Graduate"/>
    <s v="No"/>
    <n v="5629"/>
    <n v="818"/>
    <n v="100"/>
    <n v="360"/>
    <n v="1"/>
    <s v="Urban"/>
    <n v="6447"/>
    <n v="537.25"/>
    <n v="768.91348358433368"/>
    <n v="1.4312023891751209"/>
    <s v="Low Risk"/>
    <s v="5k-10k"/>
    <x v="0"/>
    <n v="0"/>
    <x v="0"/>
  </r>
  <r>
    <x v="14"/>
    <s v="Male"/>
    <s v="No"/>
    <n v="0"/>
    <s v="Graduate"/>
    <s v="No"/>
    <n v="6500"/>
    <n v="2600"/>
    <n v="200"/>
    <n v="360"/>
    <n v="1"/>
    <s v="Semiurban"/>
    <n v="9100"/>
    <n v="758.33333333333337"/>
    <n v="1537.8269671686674"/>
    <n v="2.0279036929696712"/>
    <s v="Low Risk"/>
    <s v="5k-10k"/>
    <x v="1"/>
    <n v="0"/>
    <x v="1"/>
  </r>
  <r>
    <x v="15"/>
    <s v="Male"/>
    <s v="Yes"/>
    <n v="0"/>
    <s v="Graduate"/>
    <s v="No"/>
    <n v="4260"/>
    <n v="3900"/>
    <n v="185"/>
    <n v="360"/>
    <n v="0"/>
    <s v="Urban"/>
    <n v="8160"/>
    <n v="680"/>
    <n v="1422.4899446310171"/>
    <n v="2.0918969773985547"/>
    <s v="High Risk"/>
    <s v="5k-10k"/>
    <x v="0"/>
    <n v="1"/>
    <x v="0"/>
  </r>
  <r>
    <x v="16"/>
    <s v="Male"/>
    <s v="Yes"/>
    <n v="0"/>
    <s v="Not Graduate"/>
    <s v="No"/>
    <n v="4163"/>
    <n v="1475"/>
    <n v="162"/>
    <n v="360"/>
    <n v="1"/>
    <s v="Urban"/>
    <n v="5638"/>
    <n v="469.83333333333331"/>
    <n v="1245.6398434066205"/>
    <n v="2.6512376943737932"/>
    <s v="Low Risk"/>
    <s v="5k-10k"/>
    <x v="0"/>
    <n v="0"/>
    <x v="0"/>
  </r>
  <r>
    <x v="17"/>
    <s v="Male"/>
    <s v="Yes"/>
    <n v="3"/>
    <s v="Not Graduate"/>
    <s v="Yes"/>
    <n v="8000"/>
    <n v="250"/>
    <n v="187"/>
    <n v="360"/>
    <n v="1"/>
    <s v="Semiurban"/>
    <n v="8250"/>
    <n v="687.5"/>
    <n v="1437.8682143027038"/>
    <n v="2.0914446753493872"/>
    <s v="Low Risk"/>
    <s v="5k-10k"/>
    <x v="0"/>
    <n v="0"/>
    <x v="1"/>
  </r>
  <r>
    <x v="18"/>
    <s v="Male"/>
    <s v="Yes"/>
    <n v="1"/>
    <s v="Graduate"/>
    <s v="No"/>
    <n v="3500"/>
    <n v="3077"/>
    <n v="160"/>
    <n v="360"/>
    <n v="1"/>
    <s v="Semiurban"/>
    <n v="6577"/>
    <n v="548.08333333333337"/>
    <n v="1230.2615737349338"/>
    <n v="2.2446615303054895"/>
    <s v="Low Risk"/>
    <s v="5k-10k"/>
    <x v="0"/>
    <n v="0"/>
    <x v="1"/>
  </r>
  <r>
    <x v="19"/>
    <s v="Male"/>
    <s v="Yes"/>
    <n v="2"/>
    <s v="Graduate"/>
    <s v="No"/>
    <n v="4116"/>
    <n v="1000"/>
    <n v="30"/>
    <n v="180"/>
    <n v="1"/>
    <s v="Urban"/>
    <n v="5116"/>
    <n v="426.33333333333331"/>
    <n v="295.42186737767798"/>
    <n v="0.69293635819627364"/>
    <s v="Low Risk"/>
    <s v="5k-10k"/>
    <x v="2"/>
    <n v="0"/>
    <x v="0"/>
  </r>
  <r>
    <x v="20"/>
    <s v="Male"/>
    <s v="Yes"/>
    <n v="0"/>
    <s v="Not Graduate"/>
    <s v="Yes"/>
    <n v="5293"/>
    <n v="0"/>
    <n v="92"/>
    <n v="360"/>
    <n v="1"/>
    <s v="Urban"/>
    <n v="5293"/>
    <n v="441.08333333333331"/>
    <n v="707.4004048975869"/>
    <n v="1.6037794934387009"/>
    <s v="Low Risk"/>
    <s v="5k-10k"/>
    <x v="2"/>
    <n v="0"/>
    <x v="0"/>
  </r>
  <r>
    <x v="21"/>
    <s v="Male"/>
    <s v="Yes"/>
    <n v="2"/>
    <s v="Graduate"/>
    <s v="No"/>
    <n v="3613"/>
    <n v="3539"/>
    <n v="134"/>
    <n v="180"/>
    <n v="1"/>
    <s v="Semiurban"/>
    <n v="7152"/>
    <n v="596"/>
    <n v="1319.551007620295"/>
    <n v="2.2140117577521727"/>
    <s v="Low Risk"/>
    <s v="5k-10k"/>
    <x v="0"/>
    <n v="0"/>
    <x v="1"/>
  </r>
  <r>
    <x v="22"/>
    <s v="Female"/>
    <s v="Yes"/>
    <n v="2"/>
    <s v="Graduate"/>
    <s v="No"/>
    <n v="2779"/>
    <n v="3664"/>
    <n v="176"/>
    <n v="360"/>
    <n v="0"/>
    <s v="Semiurban"/>
    <n v="6443"/>
    <n v="536.91666666666663"/>
    <n v="1353.2877311084274"/>
    <n v="2.5204800206892952"/>
    <s v="High Risk"/>
    <s v="5k-10k"/>
    <x v="0"/>
    <n v="1"/>
    <x v="1"/>
  </r>
  <r>
    <x v="23"/>
    <s v="Male"/>
    <s v="Yes"/>
    <n v="0"/>
    <s v="Graduate"/>
    <s v="Yes"/>
    <n v="7016"/>
    <n v="292"/>
    <n v="125"/>
    <n v="360"/>
    <n v="1"/>
    <s v="Urban"/>
    <n v="7308"/>
    <n v="609"/>
    <n v="961.14185448041712"/>
    <n v="1.5782296461090592"/>
    <s v="Low Risk"/>
    <s v="5k-10k"/>
    <x v="0"/>
    <n v="0"/>
    <x v="0"/>
  </r>
  <r>
    <x v="24"/>
    <s v="Male"/>
    <s v="Yes"/>
    <n v="0"/>
    <s v="Graduate"/>
    <s v="No"/>
    <n v="2917"/>
    <n v="3583"/>
    <n v="138"/>
    <n v="360"/>
    <n v="1"/>
    <s v="Semiurban"/>
    <n v="6500"/>
    <n v="541.66666666666663"/>
    <n v="1061.1006073463805"/>
    <n v="1.9589549674087026"/>
    <s v="Low Risk"/>
    <s v="5k-10k"/>
    <x v="0"/>
    <n v="0"/>
    <x v="1"/>
  </r>
  <r>
    <x v="25"/>
    <s v="Male"/>
    <s v="Yes"/>
    <n v="0"/>
    <s v="Graduate"/>
    <s v="No"/>
    <n v="7666"/>
    <n v="0"/>
    <n v="187"/>
    <n v="360"/>
    <n v="1"/>
    <s v="Semiurban"/>
    <n v="7666"/>
    <n v="638.83333333333337"/>
    <n v="1437.8682143027038"/>
    <n v="2.2507720547394268"/>
    <s v="Low Risk"/>
    <s v="5k-10k"/>
    <x v="0"/>
    <n v="0"/>
    <x v="1"/>
  </r>
  <r>
    <x v="26"/>
    <s v="Male"/>
    <s v="Yes"/>
    <n v="0"/>
    <s v="Graduate"/>
    <s v="No"/>
    <n v="2458"/>
    <n v="5105"/>
    <n v="188"/>
    <n v="360"/>
    <n v="0"/>
    <s v="Rural"/>
    <n v="7563"/>
    <n v="630.25"/>
    <n v="1445.5573491385474"/>
    <n v="2.2936253060508487"/>
    <s v="High Risk"/>
    <s v="5k-10k"/>
    <x v="0"/>
    <n v="1"/>
    <x v="2"/>
  </r>
  <r>
    <x v="27"/>
    <s v="Male"/>
    <s v="Yes"/>
    <n v="1"/>
    <s v="Graduate"/>
    <s v="No"/>
    <n v="4083"/>
    <n v="1775"/>
    <n v="139"/>
    <n v="60"/>
    <n v="1"/>
    <s v="Urban"/>
    <n v="5858"/>
    <n v="488.16666666666669"/>
    <n v="2851.7978544601237"/>
    <n v="5.8418528940801444"/>
    <s v="Low Risk"/>
    <s v="5k-10k"/>
    <x v="0"/>
    <n v="0"/>
    <x v="0"/>
  </r>
  <r>
    <x v="28"/>
    <s v="Male"/>
    <s v="Yes"/>
    <n v="0"/>
    <s v="Graduate"/>
    <s v="Yes"/>
    <n v="3900"/>
    <n v="2094"/>
    <n v="232"/>
    <n v="360"/>
    <n v="1"/>
    <s v="Rural"/>
    <n v="5994"/>
    <n v="499.5"/>
    <n v="1783.879281915654"/>
    <n v="3.5713298937250331"/>
    <s v="Low Risk"/>
    <s v="5k-10k"/>
    <x v="1"/>
    <n v="0"/>
    <x v="2"/>
  </r>
  <r>
    <x v="29"/>
    <s v="Male"/>
    <s v="Yes"/>
    <n v="0"/>
    <s v="Not Graduate"/>
    <s v="No"/>
    <n v="4750"/>
    <n v="3583"/>
    <n v="144"/>
    <n v="360"/>
    <n v="1"/>
    <s v="Semiurban"/>
    <n v="8333"/>
    <n v="694.41666666666663"/>
    <n v="1107.2354163614405"/>
    <n v="1.5944827788716291"/>
    <s v="Low Risk"/>
    <s v="5k-10k"/>
    <x v="0"/>
    <n v="0"/>
    <x v="1"/>
  </r>
  <r>
    <x v="30"/>
    <s v="Male"/>
    <s v="No"/>
    <n v="0"/>
    <s v="Graduate"/>
    <s v="No"/>
    <n v="3583"/>
    <n v="3435"/>
    <n v="155"/>
    <n v="360"/>
    <n v="1"/>
    <s v="Urban"/>
    <n v="7018"/>
    <n v="584.83333333333337"/>
    <n v="1191.8158995557171"/>
    <n v="2.037872726513053"/>
    <s v="Low Risk"/>
    <s v="5k-10k"/>
    <x v="0"/>
    <n v="0"/>
    <x v="0"/>
  </r>
  <r>
    <x v="31"/>
    <s v="Male"/>
    <s v="Yes"/>
    <n v="0"/>
    <s v="Graduate"/>
    <s v="No"/>
    <n v="3189"/>
    <n v="2367"/>
    <n v="186"/>
    <n v="360"/>
    <n v="1"/>
    <s v="Urban"/>
    <n v="5556"/>
    <n v="463"/>
    <n v="1430.1790794668605"/>
    <n v="3.0889396964727007"/>
    <s v="Low Risk"/>
    <s v="5k-10k"/>
    <x v="0"/>
    <n v="0"/>
    <x v="0"/>
  </r>
  <r>
    <x v="32"/>
    <s v="Male"/>
    <s v="No"/>
    <n v="0"/>
    <s v="Graduate"/>
    <s v="Yes"/>
    <n v="6356"/>
    <n v="0"/>
    <n v="50"/>
    <n v="360"/>
    <n v="1"/>
    <s v="Rural"/>
    <n v="6356"/>
    <n v="529.66666666666663"/>
    <n v="384.45674179216684"/>
    <n v="0.72584658614002551"/>
    <s v="Low Risk"/>
    <s v="5k-10k"/>
    <x v="2"/>
    <n v="0"/>
    <x v="2"/>
  </r>
  <r>
    <x v="33"/>
    <s v="Male"/>
    <s v="Yes"/>
    <n v="1"/>
    <s v="Graduate"/>
    <s v="No"/>
    <n v="3413"/>
    <n v="4053"/>
    <n v="125"/>
    <n v="360"/>
    <n v="1"/>
    <s v="Semiurban"/>
    <n v="7466"/>
    <n v="622.16666666666663"/>
    <n v="961.14185448041712"/>
    <n v="1.5448301973968666"/>
    <s v="Low Risk"/>
    <s v="5k-10k"/>
    <x v="0"/>
    <n v="0"/>
    <x v="1"/>
  </r>
  <r>
    <x v="34"/>
    <s v="Female"/>
    <s v="Yes"/>
    <n v="0"/>
    <s v="Graduate"/>
    <s v="No"/>
    <n v="7950"/>
    <n v="0"/>
    <n v="185"/>
    <n v="360"/>
    <n v="1"/>
    <s v="Urban"/>
    <n v="7950"/>
    <n v="662.5"/>
    <n v="1422.4899446310171"/>
    <n v="2.1471546334053087"/>
    <s v="Low Risk"/>
    <s v="5k-10k"/>
    <x v="0"/>
    <n v="0"/>
    <x v="0"/>
  </r>
  <r>
    <x v="35"/>
    <s v="Male"/>
    <s v="Yes"/>
    <n v="0"/>
    <s v="Graduate"/>
    <s v="No"/>
    <n v="8449"/>
    <n v="0"/>
    <n v="257"/>
    <n v="360"/>
    <n v="1"/>
    <s v="Rural"/>
    <n v="8449"/>
    <n v="704.08333333333337"/>
    <n v="1976.1076528117376"/>
    <n v="2.8066388724986213"/>
    <s v="Low Risk"/>
    <s v="5k-10k"/>
    <x v="1"/>
    <n v="0"/>
    <x v="2"/>
  </r>
  <r>
    <x v="36"/>
    <s v="Male"/>
    <s v="Yes"/>
    <n v="0"/>
    <s v="Graduate"/>
    <s v="No"/>
    <n v="3571"/>
    <n v="1917"/>
    <n v="135"/>
    <n v="360"/>
    <n v="1"/>
    <s v="Urban"/>
    <n v="5488"/>
    <n v="457.33333333333331"/>
    <n v="1038.0332028388502"/>
    <n v="2.2697519012511305"/>
    <s v="Low Risk"/>
    <s v="5k-10k"/>
    <x v="0"/>
    <n v="0"/>
    <x v="0"/>
  </r>
  <r>
    <x v="37"/>
    <s v="Male"/>
    <s v="No"/>
    <n v="2"/>
    <s v="Not Graduate"/>
    <s v="No"/>
    <n v="3235"/>
    <n v="2015"/>
    <n v="77"/>
    <n v="360"/>
    <n v="1"/>
    <s v="Semiurban"/>
    <n v="5250"/>
    <n v="437.5"/>
    <n v="592.0633823599369"/>
    <n v="1.3532877311084273"/>
    <s v="Low Risk"/>
    <s v="5k-10k"/>
    <x v="2"/>
    <n v="0"/>
    <x v="1"/>
  </r>
  <r>
    <x v="38"/>
    <s v="Female"/>
    <s v="No"/>
    <n v="0"/>
    <s v="Graduate"/>
    <s v="No"/>
    <n v="5058"/>
    <n v="0"/>
    <n v="200"/>
    <n v="360"/>
    <n v="1"/>
    <s v="Rural"/>
    <n v="5058"/>
    <n v="421.5"/>
    <n v="1537.8269671686674"/>
    <n v="3.6484625555603021"/>
    <s v="Low Risk"/>
    <s v="5k-10k"/>
    <x v="1"/>
    <n v="0"/>
    <x v="2"/>
  </r>
  <r>
    <x v="39"/>
    <s v="Male"/>
    <s v="Yes"/>
    <n v="0"/>
    <s v="Graduate"/>
    <s v="Yes"/>
    <n v="3188"/>
    <n v="2286"/>
    <n v="130"/>
    <n v="360"/>
    <n v="0"/>
    <s v="Rural"/>
    <n v="5474"/>
    <n v="456.16666666666669"/>
    <n v="999.58752865963379"/>
    <n v="2.191277008387944"/>
    <s v="High Risk"/>
    <s v="5k-10k"/>
    <x v="0"/>
    <n v="1"/>
    <x v="2"/>
  </r>
  <r>
    <x v="40"/>
    <s v="Male"/>
    <s v="Yes"/>
    <n v="1"/>
    <s v="Graduate"/>
    <s v="No"/>
    <n v="4364"/>
    <n v="2500"/>
    <n v="185"/>
    <n v="360"/>
    <n v="1"/>
    <s v="Semiurban"/>
    <n v="6864"/>
    <n v="572"/>
    <n v="1422.4899446310171"/>
    <n v="2.4868705325717082"/>
    <s v="Low Risk"/>
    <s v="5k-10k"/>
    <x v="0"/>
    <n v="0"/>
    <x v="1"/>
  </r>
  <r>
    <x v="41"/>
    <s v="Male"/>
    <s v="Yes"/>
    <n v="2"/>
    <s v="Not Graduate"/>
    <s v="No"/>
    <n v="4766"/>
    <n v="1646"/>
    <n v="100"/>
    <n v="360"/>
    <n v="1"/>
    <s v="Semiurban"/>
    <n v="6412"/>
    <n v="534.33333333333337"/>
    <n v="768.91348358433368"/>
    <n v="1.4390146292907056"/>
    <s v="Low Risk"/>
    <s v="5k-10k"/>
    <x v="0"/>
    <n v="0"/>
    <x v="1"/>
  </r>
  <r>
    <x v="42"/>
    <s v="Male"/>
    <s v="Yes"/>
    <n v="1"/>
    <s v="Graduate"/>
    <s v="No"/>
    <n v="4609"/>
    <n v="2333"/>
    <n v="123"/>
    <n v="360"/>
    <n v="0"/>
    <s v="Semiurban"/>
    <n v="6942"/>
    <n v="578.5"/>
    <n v="945.76358480873034"/>
    <n v="1.6348549434895943"/>
    <s v="High Risk"/>
    <s v="5k-10k"/>
    <x v="0"/>
    <n v="1"/>
    <x v="1"/>
  </r>
  <r>
    <x v="43"/>
    <s v="Female"/>
    <s v="Yes"/>
    <n v="3"/>
    <s v="Graduate"/>
    <s v="No"/>
    <n v="6260"/>
    <n v="0"/>
    <n v="110"/>
    <n v="360"/>
    <n v="1"/>
    <s v="Semiurban"/>
    <n v="6260"/>
    <n v="521.66666666666663"/>
    <n v="845.80483194276701"/>
    <n v="1.6213511155452405"/>
    <s v="Low Risk"/>
    <s v="5k-10k"/>
    <x v="0"/>
    <n v="0"/>
    <x v="1"/>
  </r>
  <r>
    <x v="44"/>
    <s v="Male"/>
    <s v="Yes"/>
    <n v="1"/>
    <s v="Graduate"/>
    <s v="No"/>
    <n v="3333"/>
    <n v="4200"/>
    <n v="256"/>
    <n v="360"/>
    <n v="1"/>
    <s v="Urban"/>
    <n v="7533"/>
    <n v="627.75"/>
    <n v="1968.418517975894"/>
    <n v="3.1356726690177523"/>
    <s v="Low Risk"/>
    <s v="5k-10k"/>
    <x v="1"/>
    <n v="0"/>
    <x v="0"/>
  </r>
  <r>
    <x v="45"/>
    <s v="Male"/>
    <s v="Yes"/>
    <n v="0"/>
    <s v="Graduate"/>
    <s v="No"/>
    <n v="3500"/>
    <n v="3250"/>
    <n v="140"/>
    <n v="360"/>
    <n v="1"/>
    <s v="Semiurban"/>
    <n v="6750"/>
    <n v="562.5"/>
    <n v="1076.4788770180671"/>
    <n v="1.913740225809897"/>
    <s v="Low Risk"/>
    <s v="5k-10k"/>
    <x v="0"/>
    <n v="0"/>
    <x v="1"/>
  </r>
  <r>
    <x v="46"/>
    <s v="Male"/>
    <s v="Yes"/>
    <n v="3"/>
    <s v="Graduate"/>
    <s v="No"/>
    <n v="9719"/>
    <n v="0"/>
    <n v="61"/>
    <n v="360"/>
    <n v="1"/>
    <s v="Urban"/>
    <n v="9719"/>
    <n v="809.91666666666663"/>
    <n v="469.0372249864435"/>
    <n v="0.57911788248146134"/>
    <s v="Low Risk"/>
    <s v="5k-10k"/>
    <x v="2"/>
    <n v="0"/>
    <x v="0"/>
  </r>
  <r>
    <x v="47"/>
    <s v="Male"/>
    <s v="Yes"/>
    <n v="3"/>
    <s v="Graduate"/>
    <s v="No"/>
    <n v="6835"/>
    <n v="0"/>
    <n v="188"/>
    <n v="360"/>
    <n v="0"/>
    <s v="Semiurban"/>
    <n v="6835"/>
    <n v="569.58333333333337"/>
    <n v="1445.5573491385474"/>
    <n v="2.5379207300164692"/>
    <s v="High Risk"/>
    <s v="5k-10k"/>
    <x v="0"/>
    <n v="1"/>
    <x v="1"/>
  </r>
  <r>
    <x v="48"/>
    <s v="Male"/>
    <s v="Yes"/>
    <n v="0"/>
    <s v="Not Graduate"/>
    <s v="No"/>
    <n v="4523"/>
    <n v="1350"/>
    <n v="165"/>
    <n v="360"/>
    <n v="1"/>
    <s v="Urban"/>
    <n v="5873"/>
    <n v="489.41666666666669"/>
    <n v="1268.7072479141505"/>
    <n v="2.5922845181286913"/>
    <s v="Low Risk"/>
    <s v="5k-10k"/>
    <x v="0"/>
    <n v="0"/>
    <x v="0"/>
  </r>
  <r>
    <x v="49"/>
    <s v="Female"/>
    <s v="Yes"/>
    <n v="2"/>
    <s v="Graduate"/>
    <s v="No"/>
    <n v="2922"/>
    <n v="3396"/>
    <n v="122"/>
    <n v="360"/>
    <n v="1"/>
    <s v="Semiurban"/>
    <n v="6318"/>
    <n v="526.5"/>
    <n v="938.07444997288701"/>
    <n v="1.7817178536996905"/>
    <s v="Low Risk"/>
    <s v="5k-10k"/>
    <x v="0"/>
    <n v="0"/>
    <x v="1"/>
  </r>
  <r>
    <x v="50"/>
    <s v="Male"/>
    <s v="Yes"/>
    <n v="0"/>
    <s v="Graduate"/>
    <s v="No"/>
    <n v="4167"/>
    <n v="4754"/>
    <n v="160"/>
    <n v="360"/>
    <n v="1"/>
    <s v="Rural"/>
    <n v="8921"/>
    <n v="743.41666666666663"/>
    <n v="1230.2615737349338"/>
    <n v="1.654874889005628"/>
    <s v="Low Risk"/>
    <s v="5k-10k"/>
    <x v="0"/>
    <n v="0"/>
    <x v="2"/>
  </r>
  <r>
    <x v="51"/>
    <s v="Male"/>
    <s v="No"/>
    <n v="3"/>
    <s v="Graduate"/>
    <s v="No"/>
    <n v="4243"/>
    <n v="4123"/>
    <n v="157"/>
    <n v="360"/>
    <n v="0"/>
    <s v="Semiurban"/>
    <n v="8366"/>
    <n v="697.16666666666663"/>
    <n v="1207.1941692274038"/>
    <n v="1.7315718420665607"/>
    <s v="High Risk"/>
    <s v="5k-10k"/>
    <x v="0"/>
    <n v="1"/>
    <x v="1"/>
  </r>
  <r>
    <x v="52"/>
    <s v="Male"/>
    <s v="Yes"/>
    <n v="0"/>
    <s v="Graduate"/>
    <s v="No"/>
    <n v="2333"/>
    <n v="3803"/>
    <n v="146"/>
    <n v="360"/>
    <n v="1"/>
    <s v="Rural"/>
    <n v="6136"/>
    <n v="511.33333333333331"/>
    <n v="1122.6136860331271"/>
    <n v="2.1954635320074196"/>
    <s v="Low Risk"/>
    <s v="5k-10k"/>
    <x v="0"/>
    <n v="0"/>
    <x v="2"/>
  </r>
  <r>
    <x v="53"/>
    <s v="Male"/>
    <s v="No"/>
    <n v="0"/>
    <s v="Graduate"/>
    <s v="No"/>
    <n v="2500"/>
    <n v="6414"/>
    <n v="187"/>
    <n v="360"/>
    <n v="0"/>
    <s v="Rural"/>
    <n v="8914"/>
    <n v="742.83333333333337"/>
    <n v="1437.8682143027038"/>
    <n v="1.9356538671339965"/>
    <s v="High Risk"/>
    <s v="5k-10k"/>
    <x v="0"/>
    <n v="1"/>
    <x v="2"/>
  </r>
  <r>
    <x v="54"/>
    <s v="Male"/>
    <s v="No"/>
    <n v="0"/>
    <s v="Graduate"/>
    <s v="No"/>
    <n v="6500"/>
    <n v="0"/>
    <n v="71"/>
    <n v="360"/>
    <n v="0"/>
    <s v="Urban"/>
    <n v="6500"/>
    <n v="541.66666666666663"/>
    <n v="545.9285733448769"/>
    <n v="1.0078681354059267"/>
    <s v="High Risk"/>
    <s v="5k-10k"/>
    <x v="2"/>
    <n v="1"/>
    <x v="0"/>
  </r>
  <r>
    <x v="55"/>
    <s v="Male"/>
    <s v="Yes"/>
    <n v="2"/>
    <s v="Graduate"/>
    <s v="No"/>
    <n v="7500"/>
    <n v="0"/>
    <n v="225"/>
    <n v="360"/>
    <n v="1"/>
    <s v="Urban"/>
    <n v="7500"/>
    <n v="625"/>
    <n v="1730.0553380647507"/>
    <n v="2.7680885409036011"/>
    <s v="Low Risk"/>
    <s v="5k-10k"/>
    <x v="1"/>
    <n v="0"/>
    <x v="0"/>
  </r>
  <r>
    <x v="56"/>
    <s v="Male"/>
    <s v="Yes"/>
    <n v="1"/>
    <s v="Not Graduate"/>
    <s v="No"/>
    <n v="3321"/>
    <n v="2088"/>
    <n v="70"/>
    <n v="360"/>
    <n v="1"/>
    <s v="Semiurban"/>
    <n v="5409"/>
    <n v="450.75"/>
    <n v="538.23943850903356"/>
    <n v="1.1940974786667411"/>
    <s v="Low Risk"/>
    <s v="5k-10k"/>
    <x v="2"/>
    <n v="0"/>
    <x v="1"/>
  </r>
  <r>
    <x v="57"/>
    <s v="Male"/>
    <s v="Yes"/>
    <n v="3"/>
    <s v="Graduate"/>
    <s v="No"/>
    <n v="3089"/>
    <n v="2999"/>
    <n v="100"/>
    <n v="240"/>
    <n v="1"/>
    <s v="Rural"/>
    <n v="6088"/>
    <n v="507.33333333333331"/>
    <n v="867.82323336553395"/>
    <n v="1.7105582786442852"/>
    <s v="Low Risk"/>
    <s v="5k-10k"/>
    <x v="0"/>
    <n v="0"/>
    <x v="2"/>
  </r>
  <r>
    <x v="58"/>
    <s v="Male"/>
    <s v="Yes"/>
    <n v="3"/>
    <s v="Not Graduate"/>
    <s v="No"/>
    <n v="6794"/>
    <n v="528"/>
    <n v="139"/>
    <n v="360"/>
    <n v="0"/>
    <s v="Urban"/>
    <n v="7322"/>
    <n v="610.16666666666663"/>
    <n v="1068.7897421822238"/>
    <n v="1.7516357424456004"/>
    <s v="High Risk"/>
    <s v="5k-10k"/>
    <x v="0"/>
    <n v="1"/>
    <x v="0"/>
  </r>
  <r>
    <x v="59"/>
    <s v="Male"/>
    <s v="No"/>
    <n v="0"/>
    <s v="Not Graduate"/>
    <s v="Yes"/>
    <n v="8703"/>
    <n v="0"/>
    <n v="199"/>
    <n v="360"/>
    <n v="0"/>
    <s v="Rural"/>
    <n v="8703"/>
    <n v="725.25"/>
    <n v="1530.137832332824"/>
    <n v="2.109807421348258"/>
    <s v="High Risk"/>
    <s v="5k-10k"/>
    <x v="0"/>
    <n v="1"/>
    <x v="2"/>
  </r>
  <r>
    <x v="60"/>
    <s v="Male"/>
    <s v="Yes"/>
    <n v="1"/>
    <s v="Graduate"/>
    <s v="No"/>
    <n v="4742"/>
    <n v="717"/>
    <n v="139"/>
    <n v="360"/>
    <n v="1"/>
    <s v="Semiurban"/>
    <n v="5459"/>
    <n v="454.91666666666669"/>
    <n v="1068.7897421822238"/>
    <n v="2.3494187408292149"/>
    <s v="Low Risk"/>
    <s v="5k-10k"/>
    <x v="0"/>
    <n v="0"/>
    <x v="1"/>
  </r>
  <r>
    <x v="61"/>
    <s v="Male"/>
    <s v="No"/>
    <n v="0"/>
    <s v="Graduate"/>
    <s v="No"/>
    <n v="5900"/>
    <n v="0"/>
    <n v="150"/>
    <n v="360"/>
    <n v="1"/>
    <s v="Urban"/>
    <n v="5900"/>
    <n v="491.66666666666669"/>
    <n v="1153.3702253765005"/>
    <n v="2.3458377465284754"/>
    <s v="Low Risk"/>
    <s v="5k-10k"/>
    <x v="0"/>
    <n v="0"/>
    <x v="0"/>
  </r>
  <r>
    <x v="62"/>
    <s v="Male"/>
    <s v="No"/>
    <n v="0"/>
    <s v="Graduate"/>
    <s v="No"/>
    <n v="3071"/>
    <n v="4309"/>
    <n v="180"/>
    <n v="360"/>
    <n v="1"/>
    <s v="Urban"/>
    <n v="7380"/>
    <n v="615"/>
    <n v="1384.0442704518005"/>
    <n v="2.250478488539513"/>
    <s v="Low Risk"/>
    <s v="5k-10k"/>
    <x v="0"/>
    <n v="0"/>
    <x v="0"/>
  </r>
  <r>
    <x v="63"/>
    <s v="Male"/>
    <s v="No"/>
    <n v="0"/>
    <s v="Graduate"/>
    <s v="No"/>
    <n v="5000"/>
    <n v="0"/>
    <n v="148"/>
    <n v="360"/>
    <n v="1"/>
    <s v="Rural"/>
    <n v="5000"/>
    <n v="416.66666666666669"/>
    <n v="1137.9919557048138"/>
    <n v="2.7311806936915528"/>
    <s v="Low Risk"/>
    <s v="5k-10k"/>
    <x v="0"/>
    <n v="0"/>
    <x v="2"/>
  </r>
  <r>
    <x v="64"/>
    <s v="Male"/>
    <s v="Yes"/>
    <n v="2"/>
    <s v="Graduate"/>
    <s v="Yes"/>
    <n v="4246"/>
    <n v="4246"/>
    <n v="214"/>
    <n v="360"/>
    <n v="1"/>
    <s v="Urban"/>
    <n v="8492"/>
    <n v="707.66666666666663"/>
    <n v="1645.474854870474"/>
    <n v="2.3252117591198411"/>
    <s v="Low Risk"/>
    <s v="5k-10k"/>
    <x v="1"/>
    <n v="0"/>
    <x v="0"/>
  </r>
  <r>
    <x v="65"/>
    <s v="Male"/>
    <s v="Yes"/>
    <n v="0"/>
    <s v="Graduate"/>
    <s v="No"/>
    <n v="4333"/>
    <n v="2291"/>
    <n v="133"/>
    <n v="350"/>
    <n v="1"/>
    <s v="Rural"/>
    <n v="6624"/>
    <n v="552"/>
    <n v="1029.0917034492104"/>
    <n v="1.8642965642195841"/>
    <s v="Low Risk"/>
    <s v="5k-10k"/>
    <x v="0"/>
    <n v="0"/>
    <x v="2"/>
  </r>
  <r>
    <x v="66"/>
    <s v="Male"/>
    <s v="No"/>
    <n v="1"/>
    <s v="Graduate"/>
    <s v="No"/>
    <n v="5823"/>
    <n v="2529"/>
    <n v="187"/>
    <n v="360"/>
    <n v="1"/>
    <s v="Semiurban"/>
    <n v="8352"/>
    <n v="696"/>
    <n v="1437.8682143027038"/>
    <n v="2.0659026067567585"/>
    <s v="Low Risk"/>
    <s v="5k-10k"/>
    <x v="0"/>
    <n v="0"/>
    <x v="1"/>
  </r>
  <r>
    <x v="67"/>
    <s v="Male"/>
    <s v="Yes"/>
    <n v="0"/>
    <s v="Not Graduate"/>
    <s v="No"/>
    <n v="7895"/>
    <n v="0"/>
    <n v="143"/>
    <n v="360"/>
    <n v="1"/>
    <s v="Rural"/>
    <n v="7895"/>
    <n v="657.91666666666663"/>
    <n v="1099.5462815255971"/>
    <n v="1.6712546394309267"/>
    <s v="Low Risk"/>
    <s v="5k-10k"/>
    <x v="0"/>
    <n v="0"/>
    <x v="2"/>
  </r>
  <r>
    <x v="68"/>
    <s v="Male"/>
    <s v="No"/>
    <n v="0"/>
    <s v="Graduate"/>
    <s v="No"/>
    <n v="4150"/>
    <n v="4256"/>
    <n v="209"/>
    <n v="360"/>
    <n v="1"/>
    <s v="Rural"/>
    <n v="8406"/>
    <n v="700.5"/>
    <n v="1607.0291806912571"/>
    <n v="2.2941173171895177"/>
    <s v="Low Risk"/>
    <s v="5k-10k"/>
    <x v="1"/>
    <n v="0"/>
    <x v="2"/>
  </r>
  <r>
    <x v="69"/>
    <s v="Male"/>
    <s v="No"/>
    <n v="0"/>
    <s v="Graduate"/>
    <s v="No"/>
    <n v="5583"/>
    <n v="0"/>
    <n v="116"/>
    <n v="360"/>
    <n v="1"/>
    <s v="Urban"/>
    <n v="5583"/>
    <n v="465.25"/>
    <n v="891.93964095782701"/>
    <n v="1.9171190563306331"/>
    <s v="Low Risk"/>
    <s v="5k-10k"/>
    <x v="0"/>
    <n v="0"/>
    <x v="0"/>
  </r>
  <r>
    <x v="70"/>
    <s v="Male"/>
    <s v="No"/>
    <n v="1"/>
    <s v="Graduate"/>
    <s v="No"/>
    <n v="3180"/>
    <n v="2370"/>
    <n v="80"/>
    <n v="240"/>
    <n v="0"/>
    <s v="Rural"/>
    <n v="5550"/>
    <n v="462.5"/>
    <n v="694.25858669242723"/>
    <n v="1.5010996469025453"/>
    <s v="High Risk"/>
    <s v="5k-10k"/>
    <x v="2"/>
    <n v="1"/>
    <x v="2"/>
  </r>
  <r>
    <x v="71"/>
    <s v="Male"/>
    <s v="Yes"/>
    <n v="0"/>
    <s v="Graduate"/>
    <s v="No"/>
    <n v="3042"/>
    <n v="3167"/>
    <n v="135"/>
    <n v="360"/>
    <n v="1"/>
    <s v="Urban"/>
    <n v="6209"/>
    <n v="517.41666666666663"/>
    <n v="1038.0332028388502"/>
    <n v="2.0061843185804804"/>
    <s v="Low Risk"/>
    <s v="5k-10k"/>
    <x v="0"/>
    <n v="0"/>
    <x v="0"/>
  </r>
  <r>
    <x v="72"/>
    <s v="Male"/>
    <s v="Yes"/>
    <n v="0"/>
    <s v="Graduate"/>
    <s v="No"/>
    <n v="5225"/>
    <n v="0"/>
    <n v="143"/>
    <n v="360"/>
    <n v="1"/>
    <s v="Rural"/>
    <n v="5225"/>
    <n v="435.41666666666669"/>
    <n v="1099.5462815255971"/>
    <n v="2.5252737566138115"/>
    <s v="Low Risk"/>
    <s v="5k-10k"/>
    <x v="0"/>
    <n v="0"/>
    <x v="2"/>
  </r>
  <r>
    <x v="73"/>
    <s v="Male"/>
    <s v="No"/>
    <n v="0"/>
    <s v="Graduate"/>
    <s v="No"/>
    <n v="3017"/>
    <n v="2845"/>
    <n v="159"/>
    <n v="180"/>
    <n v="0"/>
    <s v="Urban"/>
    <n v="5862"/>
    <n v="488.5"/>
    <n v="1565.7358971016934"/>
    <n v="3.2051911916104263"/>
    <s v="High Risk"/>
    <s v="5k-10k"/>
    <x v="0"/>
    <n v="1"/>
    <x v="0"/>
  </r>
  <r>
    <x v="74"/>
    <s v="Male"/>
    <s v="Yes"/>
    <n v="2"/>
    <s v="Graduate"/>
    <s v="No"/>
    <n v="4912"/>
    <n v="4614"/>
    <n v="160"/>
    <n v="360"/>
    <n v="1"/>
    <s v="Rural"/>
    <n v="9526"/>
    <n v="793.83333333333337"/>
    <n v="1230.2615737349338"/>
    <n v="1.5497731350849471"/>
    <s v="Low Risk"/>
    <s v="5k-10k"/>
    <x v="0"/>
    <n v="0"/>
    <x v="2"/>
  </r>
  <r>
    <x v="75"/>
    <s v="Male"/>
    <s v="Yes"/>
    <n v="2"/>
    <s v="Not Graduate"/>
    <s v="No"/>
    <n v="2500"/>
    <n v="3333"/>
    <n v="131"/>
    <n v="360"/>
    <n v="1"/>
    <s v="Urban"/>
    <n v="5833"/>
    <n v="486.08333333333331"/>
    <n v="1007.2766634954771"/>
    <n v="2.0722304066425039"/>
    <s v="Low Risk"/>
    <s v="5k-10k"/>
    <x v="0"/>
    <n v="0"/>
    <x v="0"/>
  </r>
  <r>
    <x v="76"/>
    <s v="Male"/>
    <s v="Yes"/>
    <n v="2"/>
    <s v="Graduate"/>
    <s v="No"/>
    <n v="5128"/>
    <n v="0"/>
    <n v="143"/>
    <n v="360"/>
    <n v="1"/>
    <s v="Rural"/>
    <n v="5128"/>
    <n v="427.33333333333331"/>
    <n v="1099.5462815255971"/>
    <n v="2.5730412204187143"/>
    <s v="Low Risk"/>
    <s v="5k-10k"/>
    <x v="0"/>
    <n v="0"/>
    <x v="2"/>
  </r>
  <r>
    <x v="77"/>
    <s v="Male"/>
    <s v="Yes"/>
    <n v="2"/>
    <s v="Graduate"/>
    <s v="No"/>
    <n v="3958"/>
    <n v="2632"/>
    <n v="160"/>
    <n v="360"/>
    <n v="1"/>
    <s v="Semiurban"/>
    <n v="6590"/>
    <n v="549.16666666666663"/>
    <n v="1230.2615737349338"/>
    <n v="2.2402335181819737"/>
    <s v="Low Risk"/>
    <s v="5k-10k"/>
    <x v="0"/>
    <n v="0"/>
    <x v="1"/>
  </r>
  <r>
    <x v="78"/>
    <s v="Male"/>
    <s v="Yes"/>
    <n v="0"/>
    <s v="Graduate"/>
    <s v="No"/>
    <n v="4334"/>
    <n v="2945"/>
    <n v="165"/>
    <n v="360"/>
    <n v="1"/>
    <s v="Semiurban"/>
    <n v="7279"/>
    <n v="606.58333333333337"/>
    <n v="1268.7072479141505"/>
    <n v="2.0915629859829377"/>
    <s v="Low Risk"/>
    <s v="5k-10k"/>
    <x v="0"/>
    <n v="0"/>
    <x v="1"/>
  </r>
  <r>
    <x v="79"/>
    <s v="Female"/>
    <s v="Yes"/>
    <n v="1"/>
    <s v="Graduate"/>
    <s v="No"/>
    <n v="4000"/>
    <n v="3917"/>
    <n v="173"/>
    <n v="360"/>
    <n v="1"/>
    <s v="Rural"/>
    <n v="7917"/>
    <n v="659.75"/>
    <n v="1330.2203266008971"/>
    <n v="2.0162490740445578"/>
    <s v="Low Risk"/>
    <s v="5k-10k"/>
    <x v="0"/>
    <n v="0"/>
    <x v="2"/>
  </r>
  <r>
    <x v="80"/>
    <s v="Male"/>
    <s v="Yes"/>
    <n v="2"/>
    <s v="Not Graduate"/>
    <s v="No"/>
    <n v="4521"/>
    <n v="1184"/>
    <n v="150"/>
    <n v="360"/>
    <n v="1"/>
    <s v="Semiurban"/>
    <n v="5705"/>
    <n v="475.41666666666669"/>
    <n v="1153.3702253765005"/>
    <n v="2.4260197553931646"/>
    <s v="Low Risk"/>
    <s v="5k-10k"/>
    <x v="0"/>
    <n v="0"/>
    <x v="1"/>
  </r>
  <r>
    <x v="81"/>
    <s v="Male"/>
    <s v="Yes"/>
    <n v="2"/>
    <s v="Graduate"/>
    <s v="No"/>
    <n v="9167"/>
    <n v="0"/>
    <n v="235"/>
    <n v="360"/>
    <n v="1"/>
    <s v="Semiurban"/>
    <n v="9167"/>
    <n v="763.91666666666663"/>
    <n v="1806.946686423184"/>
    <n v="2.3653714669006445"/>
    <s v="Low Risk"/>
    <s v="5k-10k"/>
    <x v="1"/>
    <n v="0"/>
    <x v="1"/>
  </r>
  <r>
    <x v="82"/>
    <s v="Male"/>
    <s v="Yes"/>
    <n v="2"/>
    <s v="Not Graduate"/>
    <s v="No"/>
    <n v="3785"/>
    <n v="2912"/>
    <n v="180"/>
    <n v="360"/>
    <n v="0"/>
    <s v="Rural"/>
    <n v="6697"/>
    <n v="558.08333333333337"/>
    <n v="1384.0442704518005"/>
    <n v="2.4799957063493512"/>
    <s v="High Risk"/>
    <s v="5k-10k"/>
    <x v="0"/>
    <n v="1"/>
    <x v="2"/>
  </r>
  <r>
    <x v="83"/>
    <s v="Male"/>
    <s v="No"/>
    <n v="0"/>
    <s v="Graduate"/>
    <s v="Yes"/>
    <n v="5833"/>
    <n v="0"/>
    <n v="116"/>
    <n v="360"/>
    <n v="1"/>
    <s v="Urban"/>
    <n v="5833"/>
    <n v="486.08333333333331"/>
    <n v="891.93964095782701"/>
    <n v="1.8349521158055759"/>
    <s v="Low Risk"/>
    <s v="5k-10k"/>
    <x v="0"/>
    <n v="0"/>
    <x v="0"/>
  </r>
  <r>
    <x v="84"/>
    <s v="Male"/>
    <s v="Yes"/>
    <n v="0"/>
    <s v="Graduate"/>
    <s v="Yes"/>
    <n v="8706"/>
    <n v="0"/>
    <n v="108"/>
    <n v="480"/>
    <n v="1"/>
    <s v="Rural"/>
    <n v="8706"/>
    <n v="725.5"/>
    <n v="791.74159375185161"/>
    <n v="1.0913047467289478"/>
    <s v="Low Risk"/>
    <s v="5k-10k"/>
    <x v="0"/>
    <n v="0"/>
    <x v="2"/>
  </r>
  <r>
    <x v="85"/>
    <s v="Female"/>
    <s v="Yes"/>
    <n v="0"/>
    <s v="Graduate"/>
    <s v="No"/>
    <n v="3159"/>
    <n v="2374"/>
    <n v="108"/>
    <n v="360"/>
    <n v="1"/>
    <s v="Semiurban"/>
    <n v="5533"/>
    <n v="461.08333333333331"/>
    <n v="830.42656227108023"/>
    <n v="1.8010335708029934"/>
    <s v="Low Risk"/>
    <s v="5k-10k"/>
    <x v="0"/>
    <n v="0"/>
    <x v="1"/>
  </r>
  <r>
    <x v="86"/>
    <s v="Male"/>
    <s v="Yes"/>
    <n v="0"/>
    <s v="Graduate"/>
    <s v="No"/>
    <n v="2613"/>
    <n v="2417"/>
    <n v="123"/>
    <n v="360"/>
    <n v="1"/>
    <s v="Semiurban"/>
    <n v="5030"/>
    <n v="419.16666666666669"/>
    <n v="945.76358480873034"/>
    <n v="2.2562948345337501"/>
    <s v="Low Risk"/>
    <s v="5k-10k"/>
    <x v="0"/>
    <n v="0"/>
    <x v="1"/>
  </r>
  <r>
    <x v="87"/>
    <s v="Male"/>
    <s v="Yes"/>
    <n v="1"/>
    <s v="Graduate"/>
    <s v="No"/>
    <n v="4960"/>
    <n v="2600"/>
    <n v="187"/>
    <n v="360"/>
    <n v="1"/>
    <s v="Semiurban"/>
    <n v="7560"/>
    <n v="630"/>
    <n v="1437.8682143027038"/>
    <n v="2.2823304988931805"/>
    <s v="Low Risk"/>
    <s v="5k-10k"/>
    <x v="0"/>
    <n v="0"/>
    <x v="1"/>
  </r>
  <r>
    <x v="88"/>
    <s v="Male"/>
    <s v="No"/>
    <n v="1"/>
    <s v="Not Graduate"/>
    <s v="No"/>
    <n v="2038"/>
    <n v="4027"/>
    <n v="100"/>
    <n v="360"/>
    <n v="1"/>
    <s v="Rural"/>
    <n v="6065"/>
    <n v="505.41666666666669"/>
    <n v="768.91348358433368"/>
    <n v="1.5213457218486404"/>
    <s v="Low Risk"/>
    <s v="5k-10k"/>
    <x v="0"/>
    <n v="0"/>
    <x v="2"/>
  </r>
  <r>
    <x v="89"/>
    <s v="Male"/>
    <s v="No"/>
    <n v="0"/>
    <s v="Graduate"/>
    <s v="No"/>
    <n v="5333"/>
    <n v="2400"/>
    <n v="200"/>
    <n v="360"/>
    <n v="0"/>
    <s v="Rural"/>
    <n v="7733"/>
    <n v="644.41666666666663"/>
    <n v="1537.8269671686674"/>
    <n v="2.3863860863861386"/>
    <s v="High Risk"/>
    <s v="5k-10k"/>
    <x v="1"/>
    <n v="1"/>
    <x v="2"/>
  </r>
  <r>
    <x v="90"/>
    <s v="Male"/>
    <s v="Yes"/>
    <n v="3"/>
    <s v="Graduate"/>
    <s v="Yes"/>
    <n v="5384"/>
    <n v="0"/>
    <n v="150"/>
    <n v="360"/>
    <n v="1"/>
    <s v="Semiurban"/>
    <n v="5384"/>
    <n v="448.66666666666669"/>
    <n v="1153.3702253765005"/>
    <n v="2.5706617207500009"/>
    <s v="Low Risk"/>
    <s v="5k-10k"/>
    <x v="0"/>
    <n v="0"/>
    <x v="1"/>
  </r>
  <r>
    <x v="91"/>
    <s v="Male"/>
    <s v="No"/>
    <n v="0"/>
    <s v="Graduate"/>
    <s v="No"/>
    <n v="5708"/>
    <n v="0"/>
    <n v="150"/>
    <n v="360"/>
    <n v="1"/>
    <s v="Rural"/>
    <n v="5708"/>
    <n v="475.66666666666669"/>
    <n v="1153.3702253765005"/>
    <n v="2.4247446924523484"/>
    <s v="Low Risk"/>
    <s v="5k-10k"/>
    <x v="0"/>
    <n v="0"/>
    <x v="2"/>
  </r>
  <r>
    <x v="92"/>
    <s v="Male"/>
    <s v="Yes"/>
    <n v="0"/>
    <s v="Not Graduate"/>
    <s v="No"/>
    <n v="3754"/>
    <n v="3719"/>
    <n v="118"/>
    <n v="360"/>
    <n v="1"/>
    <s v="Rural"/>
    <n v="7473"/>
    <n v="622.75"/>
    <n v="907.31791062951368"/>
    <n v="1.4569536902922742"/>
    <s v="Low Risk"/>
    <s v="5k-10k"/>
    <x v="0"/>
    <n v="0"/>
    <x v="2"/>
  </r>
  <r>
    <x v="93"/>
    <s v="Male"/>
    <s v="Yes"/>
    <n v="0"/>
    <s v="Not Graduate"/>
    <s v="No"/>
    <n v="2914"/>
    <n v="2130"/>
    <n v="150"/>
    <n v="300"/>
    <n v="1"/>
    <s v="Urban"/>
    <n v="5044"/>
    <n v="420.33333333333331"/>
    <n v="1207.840625193197"/>
    <n v="2.8735304326562976"/>
    <s v="Low Risk"/>
    <s v="5k-10k"/>
    <x v="0"/>
    <n v="0"/>
    <x v="0"/>
  </r>
  <r>
    <x v="94"/>
    <s v="Male"/>
    <s v="Yes"/>
    <n v="0"/>
    <s v="Not Graduate"/>
    <s v="No"/>
    <n v="2747"/>
    <n v="2458"/>
    <n v="118"/>
    <n v="36"/>
    <n v="1"/>
    <s v="Semiurban"/>
    <n v="5205"/>
    <n v="433.75"/>
    <n v="3724.9694159797727"/>
    <n v="8.5878257428928482"/>
    <s v="Low Risk"/>
    <s v="5k-10k"/>
    <x v="0"/>
    <n v="0"/>
    <x v="1"/>
  </r>
  <r>
    <x v="95"/>
    <s v="Male"/>
    <s v="Yes"/>
    <n v="1"/>
    <s v="Graduate"/>
    <s v="Yes"/>
    <n v="3507"/>
    <n v="3148"/>
    <n v="212"/>
    <n v="360"/>
    <n v="1"/>
    <s v="Rural"/>
    <n v="6655"/>
    <n v="554.58333333333337"/>
    <n v="1630.0965851987874"/>
    <n v="2.9393176592615249"/>
    <s v="Low Risk"/>
    <s v="5k-10k"/>
    <x v="1"/>
    <n v="0"/>
    <x v="2"/>
  </r>
  <r>
    <x v="96"/>
    <s v="Male"/>
    <s v="Yes"/>
    <n v="1"/>
    <s v="Graduate"/>
    <s v="No"/>
    <n v="3747"/>
    <n v="2139"/>
    <n v="125"/>
    <n v="360"/>
    <n v="1"/>
    <s v="Urban"/>
    <n v="5886"/>
    <n v="490.5"/>
    <n v="961.14185448041712"/>
    <n v="1.9595144841598717"/>
    <s v="Low Risk"/>
    <s v="5k-10k"/>
    <x v="0"/>
    <n v="0"/>
    <x v="0"/>
  </r>
  <r>
    <x v="97"/>
    <s v="Male"/>
    <s v="Yes"/>
    <n v="0"/>
    <s v="Not Graduate"/>
    <s v="No"/>
    <n v="3500"/>
    <n v="2168"/>
    <n v="149"/>
    <n v="360"/>
    <n v="1"/>
    <s v="Rural"/>
    <n v="5668"/>
    <n v="472.33333333333331"/>
    <n v="1145.6810905406571"/>
    <n v="2.4255774676231274"/>
    <s v="Low Risk"/>
    <s v="5k-10k"/>
    <x v="0"/>
    <n v="0"/>
    <x v="2"/>
  </r>
  <r>
    <x v="98"/>
    <s v="Female"/>
    <s v="No"/>
    <n v="1"/>
    <s v="Graduate"/>
    <s v="No"/>
    <n v="5062"/>
    <n v="0"/>
    <n v="152"/>
    <n v="300"/>
    <n v="1"/>
    <s v="Rural"/>
    <n v="5062"/>
    <n v="421.83333333333331"/>
    <n v="1223.9451668624395"/>
    <n v="2.9014899253949573"/>
    <s v="Low Risk"/>
    <s v="5k-10k"/>
    <x v="0"/>
    <n v="0"/>
    <x v="2"/>
  </r>
  <r>
    <x v="99"/>
    <s v="Female"/>
    <s v="No"/>
    <n v="2"/>
    <s v="Graduate"/>
    <s v="Yes"/>
    <n v="5184"/>
    <n v="0"/>
    <n v="187"/>
    <n v="360"/>
    <n v="0"/>
    <s v="Semiurban"/>
    <n v="5184"/>
    <n v="432"/>
    <n v="1437.8682143027038"/>
    <n v="3.3283986442192219"/>
    <s v="High Risk"/>
    <s v="5k-10k"/>
    <x v="0"/>
    <n v="1"/>
    <x v="1"/>
  </r>
  <r>
    <x v="100"/>
    <s v="Male"/>
    <s v="Yes"/>
    <n v="1"/>
    <s v="Graduate"/>
    <s v="No"/>
    <n v="3436"/>
    <n v="3809"/>
    <n v="100"/>
    <n v="360"/>
    <n v="1"/>
    <s v="Rural"/>
    <n v="7245"/>
    <n v="603.75"/>
    <n v="768.91348358433368"/>
    <n v="1.2735627057297452"/>
    <s v="Low Risk"/>
    <s v="5k-10k"/>
    <x v="0"/>
    <n v="0"/>
    <x v="2"/>
  </r>
  <r>
    <x v="101"/>
    <s v="Male"/>
    <s v="No"/>
    <n v="0"/>
    <s v="Graduate"/>
    <s v="No"/>
    <n v="2412"/>
    <n v="2755"/>
    <n v="130"/>
    <n v="360"/>
    <n v="1"/>
    <s v="Rural"/>
    <n v="5167"/>
    <n v="430.58333333333331"/>
    <n v="999.58752865963379"/>
    <n v="2.3214728747659388"/>
    <s v="Low Risk"/>
    <s v="5k-10k"/>
    <x v="0"/>
    <n v="0"/>
    <x v="2"/>
  </r>
  <r>
    <x v="102"/>
    <s v="Male"/>
    <s v="Yes"/>
    <n v="3"/>
    <s v="Not Graduate"/>
    <s v="No"/>
    <n v="5180"/>
    <n v="0"/>
    <n v="125"/>
    <n v="360"/>
    <n v="0"/>
    <s v="Urban"/>
    <n v="5180"/>
    <n v="431.66666666666669"/>
    <n v="961.14185448041712"/>
    <n v="2.2265834466727807"/>
    <s v="High Risk"/>
    <s v="5k-10k"/>
    <x v="0"/>
    <n v="1"/>
    <x v="0"/>
  </r>
  <r>
    <x v="103"/>
    <s v="Male"/>
    <s v="No"/>
    <n v="0"/>
    <s v="Graduate"/>
    <s v="Yes"/>
    <n v="2860"/>
    <n v="2988"/>
    <n v="138"/>
    <n v="360"/>
    <n v="1"/>
    <s v="Urban"/>
    <n v="5848"/>
    <n v="487.33333333333331"/>
    <n v="1061.1006073463805"/>
    <n v="2.1773610273865538"/>
    <s v="Low Risk"/>
    <s v="5k-10k"/>
    <x v="0"/>
    <n v="0"/>
    <x v="0"/>
  </r>
  <r>
    <x v="104"/>
    <s v="Female"/>
    <s v="No"/>
    <n v="1"/>
    <s v="Graduate"/>
    <s v="No"/>
    <n v="7600"/>
    <n v="0"/>
    <n v="92"/>
    <n v="360"/>
    <n v="1"/>
    <s v="Semiurban"/>
    <n v="7600"/>
    <n v="633.33333333333337"/>
    <n v="707.4004048975869"/>
    <n v="1.1169480077330318"/>
    <s v="Low Risk"/>
    <s v="5k-10k"/>
    <x v="2"/>
    <n v="0"/>
    <x v="1"/>
  </r>
  <r>
    <x v="105"/>
    <s v="Male"/>
    <s v="No"/>
    <n v="0"/>
    <s v="Graduate"/>
    <s v="No"/>
    <n v="2231"/>
    <n v="2774"/>
    <n v="176"/>
    <n v="360"/>
    <n v="0"/>
    <s v="Urban"/>
    <n v="5005"/>
    <n v="417.08333333333331"/>
    <n v="1353.2877311084274"/>
    <n v="3.2446459087514743"/>
    <s v="High Risk"/>
    <s v="5k-10k"/>
    <x v="0"/>
    <n v="1"/>
    <x v="0"/>
  </r>
  <r>
    <x v="106"/>
    <s v="Female"/>
    <s v="No"/>
    <n v="0"/>
    <s v="Graduate"/>
    <s v="No"/>
    <n v="2274"/>
    <n v="5211"/>
    <n v="117"/>
    <n v="360"/>
    <n v="0"/>
    <s v="Semiurban"/>
    <n v="7485"/>
    <n v="623.75"/>
    <n v="899.62877579367034"/>
    <n v="1.4422906225149024"/>
    <s v="High Risk"/>
    <s v="5k-10k"/>
    <x v="0"/>
    <n v="1"/>
    <x v="1"/>
  </r>
  <r>
    <x v="107"/>
    <s v="Male"/>
    <s v="Yes"/>
    <n v="0"/>
    <s v="Graduate"/>
    <s v="No"/>
    <n v="3887"/>
    <n v="1517"/>
    <n v="105"/>
    <n v="360"/>
    <n v="0"/>
    <s v="Semiurban"/>
    <n v="5404"/>
    <n v="450.33333333333331"/>
    <n v="807.35915776355023"/>
    <n v="1.7928034591344566"/>
    <s v="High Risk"/>
    <s v="5k-10k"/>
    <x v="0"/>
    <n v="1"/>
    <x v="1"/>
  </r>
  <r>
    <x v="108"/>
    <s v="Male"/>
    <s v="Yes"/>
    <n v="0"/>
    <s v="Graduate"/>
    <s v="No"/>
    <n v="3186"/>
    <n v="3145"/>
    <n v="150"/>
    <n v="180"/>
    <n v="0"/>
    <s v="Semiurban"/>
    <n v="6331"/>
    <n v="527.58333333333337"/>
    <n v="1477.1093368883899"/>
    <n v="2.7997649727784988"/>
    <s v="High Risk"/>
    <s v="5k-10k"/>
    <x v="0"/>
    <n v="1"/>
    <x v="1"/>
  </r>
  <r>
    <x v="109"/>
    <s v="Male"/>
    <s v="Yes"/>
    <n v="2"/>
    <s v="Graduate"/>
    <s v="Yes"/>
    <n v="5000"/>
    <n v="2166"/>
    <n v="150"/>
    <n v="360"/>
    <n v="1"/>
    <s v="Urban"/>
    <n v="7166"/>
    <n v="597.16666666666663"/>
    <n v="1153.3702253765005"/>
    <n v="1.9314042289307851"/>
    <s v="Low Risk"/>
    <s v="5k-10k"/>
    <x v="0"/>
    <n v="0"/>
    <x v="0"/>
  </r>
  <r>
    <x v="110"/>
    <s v="Male"/>
    <s v="Yes"/>
    <n v="2"/>
    <s v="Graduate"/>
    <s v="No"/>
    <n v="4010"/>
    <n v="1025"/>
    <n v="120"/>
    <n v="360"/>
    <n v="1"/>
    <s v="Urban"/>
    <n v="5035"/>
    <n v="419.58333333333331"/>
    <n v="922.69618030120034"/>
    <n v="2.199077291681113"/>
    <s v="Low Risk"/>
    <s v="5k-10k"/>
    <x v="0"/>
    <n v="0"/>
    <x v="0"/>
  </r>
  <r>
    <x v="111"/>
    <s v="Female"/>
    <s v="Yes"/>
    <n v="1"/>
    <s v="Graduate"/>
    <s v="No"/>
    <n v="3719"/>
    <n v="1585"/>
    <n v="114"/>
    <n v="360"/>
    <n v="1"/>
    <s v="Urban"/>
    <n v="5304"/>
    <n v="442"/>
    <n v="876.56137128614034"/>
    <n v="1.9831705232718106"/>
    <s v="Low Risk"/>
    <s v="5k-10k"/>
    <x v="0"/>
    <n v="0"/>
    <x v="0"/>
  </r>
  <r>
    <x v="112"/>
    <s v="Male"/>
    <s v="Yes"/>
    <n v="0"/>
    <s v="Graduate"/>
    <s v="No"/>
    <n v="3333"/>
    <n v="4288"/>
    <n v="160"/>
    <n v="360"/>
    <n v="1"/>
    <s v="Urban"/>
    <n v="7621"/>
    <n v="635.08333333333337"/>
    <n v="1230.2615737349338"/>
    <n v="1.9371655799526577"/>
    <s v="Low Risk"/>
    <s v="5k-10k"/>
    <x v="0"/>
    <n v="0"/>
    <x v="0"/>
  </r>
  <r>
    <x v="113"/>
    <s v="Male"/>
    <s v="Yes"/>
    <n v="0"/>
    <s v="Graduate"/>
    <s v="No"/>
    <n v="3007"/>
    <n v="3725"/>
    <n v="151"/>
    <n v="360"/>
    <n v="1"/>
    <s v="Rural"/>
    <n v="6732"/>
    <n v="561"/>
    <n v="1161.0593602123438"/>
    <n v="2.069624528007743"/>
    <s v="Low Risk"/>
    <s v="5k-10k"/>
    <x v="0"/>
    <n v="0"/>
    <x v="2"/>
  </r>
  <r>
    <x v="114"/>
    <s v="Female"/>
    <s v="No"/>
    <n v="1"/>
    <s v="Graduate"/>
    <s v="No"/>
    <n v="1850"/>
    <n v="4583"/>
    <n v="81"/>
    <n v="360"/>
    <n v="0"/>
    <s v="Rural"/>
    <n v="6433"/>
    <n v="536.08333333333337"/>
    <n v="622.81992170331023"/>
    <n v="1.161796838246498"/>
    <s v="High Risk"/>
    <s v="5k-10k"/>
    <x v="2"/>
    <n v="1"/>
    <x v="2"/>
  </r>
  <r>
    <x v="115"/>
    <s v="Male"/>
    <s v="Yes"/>
    <n v="3"/>
    <s v="Not Graduate"/>
    <s v="No"/>
    <n v="2792"/>
    <n v="2619"/>
    <n v="171"/>
    <n v="360"/>
    <n v="1"/>
    <s v="Semiurban"/>
    <n v="5411"/>
    <n v="450.91666666666669"/>
    <n v="1314.8420569292107"/>
    <n v="2.9159313774072313"/>
    <s v="Low Risk"/>
    <s v="5k-10k"/>
    <x v="0"/>
    <n v="0"/>
    <x v="1"/>
  </r>
  <r>
    <x v="116"/>
    <s v="Male"/>
    <s v="No"/>
    <n v="0"/>
    <s v="Graduate"/>
    <s v="No"/>
    <n v="3579"/>
    <n v="3308"/>
    <n v="138"/>
    <n v="360"/>
    <n v="0"/>
    <s v="Semiurban"/>
    <n v="6887"/>
    <n v="573.91666666666663"/>
    <n v="1061.1006073463805"/>
    <n v="1.8488757496960311"/>
    <s v="High Risk"/>
    <s v="5k-10k"/>
    <x v="0"/>
    <n v="1"/>
    <x v="1"/>
  </r>
  <r>
    <x v="117"/>
    <s v="Female"/>
    <s v="Yes"/>
    <n v="1"/>
    <s v="Not Graduate"/>
    <s v="No"/>
    <n v="3835"/>
    <n v="1400"/>
    <n v="112"/>
    <n v="480"/>
    <n v="0"/>
    <s v="Urban"/>
    <n v="5235"/>
    <n v="436.25"/>
    <n v="821.06535648340162"/>
    <n v="1.8820982383573677"/>
    <s v="High Risk"/>
    <s v="5k-10k"/>
    <x v="0"/>
    <n v="1"/>
    <x v="0"/>
  </r>
  <r>
    <x v="118"/>
    <s v="Female"/>
    <s v="No"/>
    <n v="1"/>
    <s v="Not Graduate"/>
    <s v="No"/>
    <n v="3854"/>
    <n v="3575"/>
    <n v="117"/>
    <n v="360"/>
    <n v="1"/>
    <s v="Rural"/>
    <n v="7429"/>
    <n v="619.08333333333337"/>
    <n v="899.62877579367034"/>
    <n v="1.4531626476677943"/>
    <s v="Low Risk"/>
    <s v="5k-10k"/>
    <x v="0"/>
    <n v="0"/>
    <x v="2"/>
  </r>
  <r>
    <x v="119"/>
    <s v="Male"/>
    <s v="Yes"/>
    <n v="2"/>
    <s v="Graduate"/>
    <s v="No"/>
    <n v="5833"/>
    <n v="750"/>
    <n v="49"/>
    <n v="360"/>
    <n v="0"/>
    <s v="Rural"/>
    <n v="6583"/>
    <n v="548.58333333333337"/>
    <n v="376.7676069563235"/>
    <n v="0.68680104564421718"/>
    <s v="High Risk"/>
    <s v="5k-10k"/>
    <x v="2"/>
    <n v="1"/>
    <x v="2"/>
  </r>
  <r>
    <x v="120"/>
    <s v="Female"/>
    <s v="No"/>
    <n v="0"/>
    <s v="Graduate"/>
    <s v="Yes"/>
    <n v="3333"/>
    <n v="3916"/>
    <n v="212"/>
    <n v="360"/>
    <n v="1"/>
    <s v="Rural"/>
    <n v="7249"/>
    <n v="604.08333333333337"/>
    <n v="1630.0965851987874"/>
    <n v="2.6984631014464679"/>
    <s v="Low Risk"/>
    <s v="5k-10k"/>
    <x v="1"/>
    <n v="0"/>
    <x v="2"/>
  </r>
  <r>
    <x v="121"/>
    <s v="Male"/>
    <s v="Yes"/>
    <n v="2"/>
    <s v="Graduate"/>
    <s v="No"/>
    <n v="5667"/>
    <n v="440"/>
    <n v="130"/>
    <n v="360"/>
    <n v="0"/>
    <s v="Semiurban"/>
    <n v="6107"/>
    <n v="508.91666666666669"/>
    <n v="999.58752865963379"/>
    <n v="1.9641477556763722"/>
    <s v="High Risk"/>
    <s v="5k-10k"/>
    <x v="0"/>
    <n v="1"/>
    <x v="1"/>
  </r>
  <r>
    <x v="122"/>
    <s v="Male"/>
    <s v="Yes"/>
    <n v="0"/>
    <s v="Graduate"/>
    <s v="No"/>
    <n v="6500"/>
    <n v="0"/>
    <n v="144"/>
    <n v="360"/>
    <n v="1"/>
    <s v="Urban"/>
    <n v="6500"/>
    <n v="541.66666666666663"/>
    <n v="1107.2354163614405"/>
    <n v="2.0441269225134286"/>
    <s v="Low Risk"/>
    <s v="5k-10k"/>
    <x v="0"/>
    <n v="0"/>
    <x v="0"/>
  </r>
  <r>
    <x v="123"/>
    <s v="Female"/>
    <s v="No"/>
    <n v="0"/>
    <s v="Graduate"/>
    <s v="No"/>
    <n v="5769"/>
    <n v="0"/>
    <n v="110"/>
    <n v="180"/>
    <n v="1"/>
    <s v="Semiurban"/>
    <n v="5769"/>
    <n v="480.75"/>
    <n v="1083.2135137181526"/>
    <n v="2.2531742355031774"/>
    <s v="Low Risk"/>
    <s v="5k-10k"/>
    <x v="0"/>
    <n v="0"/>
    <x v="1"/>
  </r>
  <r>
    <x v="124"/>
    <s v="Male"/>
    <s v="Yes"/>
    <n v="0"/>
    <s v="Graduate"/>
    <s v="No"/>
    <n v="5000"/>
    <n v="0"/>
    <n v="126"/>
    <n v="360"/>
    <n v="1"/>
    <s v="Rural"/>
    <n v="5000"/>
    <n v="416.66666666666669"/>
    <n v="968.83098931626046"/>
    <n v="2.3251943743590249"/>
    <s v="Low Risk"/>
    <s v="5k-10k"/>
    <x v="0"/>
    <n v="0"/>
    <x v="2"/>
  </r>
  <r>
    <x v="125"/>
    <s v="Female"/>
    <s v="No"/>
    <n v="0"/>
    <s v="Graduate"/>
    <s v="No"/>
    <n v="5530"/>
    <n v="0"/>
    <n v="135"/>
    <n v="360"/>
    <n v="0"/>
    <s v="Urban"/>
    <n v="5530"/>
    <n v="460.83333333333331"/>
    <n v="1038.0332028388502"/>
    <n v="2.2525132792163118"/>
    <s v="High Risk"/>
    <s v="5k-10k"/>
    <x v="0"/>
    <n v="1"/>
    <x v="0"/>
  </r>
  <r>
    <x v="126"/>
    <s v="Male"/>
    <s v="No"/>
    <n v="0"/>
    <s v="Not Graduate"/>
    <s v="No"/>
    <n v="9000"/>
    <n v="0"/>
    <n v="122"/>
    <n v="360"/>
    <n v="1"/>
    <s v="Rural"/>
    <n v="9000"/>
    <n v="750"/>
    <n v="938.07444997288701"/>
    <n v="1.2507659332971828"/>
    <s v="Low Risk"/>
    <s v="5k-10k"/>
    <x v="0"/>
    <n v="0"/>
    <x v="2"/>
  </r>
  <r>
    <x v="127"/>
    <s v="Male"/>
    <s v="Yes"/>
    <n v="1"/>
    <s v="Graduate"/>
    <s v="No"/>
    <n v="8750"/>
    <n v="0"/>
    <n v="297"/>
    <n v="360"/>
    <n v="1"/>
    <s v="Urban"/>
    <n v="8750"/>
    <n v="729.16666666666663"/>
    <n v="2283.6730462454707"/>
    <n v="3.13189446342236"/>
    <s v="Low Risk"/>
    <s v="5k-10k"/>
    <x v="1"/>
    <n v="0"/>
    <x v="0"/>
  </r>
  <r>
    <x v="128"/>
    <s v="Male"/>
    <s v="No"/>
    <n v="0"/>
    <s v="Graduate"/>
    <s v="No"/>
    <n v="1972"/>
    <n v="4347"/>
    <n v="106"/>
    <n v="360"/>
    <n v="1"/>
    <s v="Rural"/>
    <n v="6319"/>
    <n v="526.58333333333337"/>
    <n v="815.04829259939368"/>
    <n v="1.5478049550866788"/>
    <s v="Low Risk"/>
    <s v="5k-10k"/>
    <x v="0"/>
    <n v="0"/>
    <x v="2"/>
  </r>
  <r>
    <x v="129"/>
    <s v="Male"/>
    <s v="Yes"/>
    <n v="0"/>
    <s v="Graduate"/>
    <s v="No"/>
    <n v="3667"/>
    <n v="2000"/>
    <n v="170"/>
    <n v="360"/>
    <n v="1"/>
    <s v="Semiurban"/>
    <n v="5667"/>
    <n v="472.25"/>
    <n v="1307.1529220933671"/>
    <n v="2.7679257217434983"/>
    <s v="Low Risk"/>
    <s v="5k-10k"/>
    <x v="0"/>
    <n v="0"/>
    <x v="1"/>
  </r>
  <r>
    <x v="130"/>
    <s v="Male"/>
    <s v="Yes"/>
    <n v="2"/>
    <s v="Graduate"/>
    <s v="No"/>
    <n v="3166"/>
    <n v="2833"/>
    <n v="145"/>
    <n v="360"/>
    <n v="1"/>
    <s v="Urban"/>
    <n v="5999"/>
    <n v="499.91666666666669"/>
    <n v="1114.9245511972838"/>
    <n v="2.2302208058622113"/>
    <s v="Low Risk"/>
    <s v="5k-10k"/>
    <x v="0"/>
    <n v="0"/>
    <x v="0"/>
  </r>
  <r>
    <x v="131"/>
    <s v="Male"/>
    <s v="No"/>
    <n v="0"/>
    <s v="Graduate"/>
    <s v="No"/>
    <n v="6478"/>
    <n v="0"/>
    <n v="108"/>
    <n v="360"/>
    <n v="1"/>
    <s v="Semiurban"/>
    <n v="6478"/>
    <n v="539.83333333333337"/>
    <n v="830.42656227108023"/>
    <n v="1.53830175165992"/>
    <s v="Low Risk"/>
    <s v="5k-10k"/>
    <x v="0"/>
    <n v="0"/>
    <x v="1"/>
  </r>
  <r>
    <x v="132"/>
    <s v="Male"/>
    <s v="Yes"/>
    <n v="1"/>
    <s v="Graduate"/>
    <s v="Yes"/>
    <n v="7500"/>
    <n v="0"/>
    <n v="75"/>
    <n v="360"/>
    <n v="1"/>
    <s v="Urban"/>
    <n v="7500"/>
    <n v="625"/>
    <n v="576.68511268825023"/>
    <n v="0.92269618030120037"/>
    <s v="Low Risk"/>
    <s v="5k-10k"/>
    <x v="2"/>
    <n v="0"/>
    <x v="0"/>
  </r>
  <r>
    <x v="133"/>
    <s v="Male"/>
    <s v="Yes"/>
    <n v="1"/>
    <s v="Graduate"/>
    <s v="No"/>
    <n v="6300"/>
    <n v="0"/>
    <n v="125"/>
    <n v="360"/>
    <n v="0"/>
    <s v="Urban"/>
    <n v="6300"/>
    <n v="525"/>
    <n v="961.14185448041712"/>
    <n v="1.8307463894865088"/>
    <s v="High Risk"/>
    <s v="5k-10k"/>
    <x v="0"/>
    <n v="1"/>
    <x v="0"/>
  </r>
  <r>
    <x v="134"/>
    <s v="Male"/>
    <s v="Yes"/>
    <n v="2"/>
    <s v="Graduate"/>
    <s v="Yes"/>
    <n v="7500"/>
    <n v="0"/>
    <n v="183"/>
    <n v="360"/>
    <n v="1"/>
    <s v="Rural"/>
    <n v="7500"/>
    <n v="625"/>
    <n v="1407.1116749593307"/>
    <n v="2.2513786799349291"/>
    <s v="Low Risk"/>
    <s v="5k-10k"/>
    <x v="0"/>
    <n v="0"/>
    <x v="2"/>
  </r>
  <r>
    <x v="135"/>
    <s v="Male"/>
    <s v="Yes"/>
    <n v="1"/>
    <s v="Graduate"/>
    <s v="No"/>
    <n v="6825"/>
    <n v="0"/>
    <n v="162"/>
    <n v="360"/>
    <n v="1"/>
    <s v="Rural"/>
    <n v="6825"/>
    <n v="568.75"/>
    <n v="1245.6398434066205"/>
    <n v="2.1901359884072447"/>
    <s v="Low Risk"/>
    <s v="5k-10k"/>
    <x v="0"/>
    <n v="0"/>
    <x v="2"/>
  </r>
  <r>
    <x v="136"/>
    <s v="Male"/>
    <s v="Yes"/>
    <n v="0"/>
    <s v="Graduate"/>
    <s v="No"/>
    <n v="3708"/>
    <n v="4700"/>
    <n v="132"/>
    <n v="360"/>
    <n v="1"/>
    <s v="Semiurban"/>
    <n v="8408"/>
    <n v="700.66666666666663"/>
    <n v="1014.9657983313205"/>
    <n v="1.4485715485223414"/>
    <s v="Low Risk"/>
    <s v="5k-10k"/>
    <x v="0"/>
    <n v="0"/>
    <x v="1"/>
  </r>
  <r>
    <x v="137"/>
    <s v="Male"/>
    <s v="No"/>
    <n v="0"/>
    <s v="Graduate"/>
    <s v="No"/>
    <n v="5314"/>
    <n v="0"/>
    <n v="147"/>
    <n v="360"/>
    <n v="1"/>
    <s v="Urban"/>
    <n v="5314"/>
    <n v="442.83333333333331"/>
    <n v="1130.3028208689702"/>
    <n v="2.5524339199148747"/>
    <s v="Low Risk"/>
    <s v="5k-10k"/>
    <x v="0"/>
    <n v="0"/>
    <x v="0"/>
  </r>
  <r>
    <x v="138"/>
    <s v="Female"/>
    <s v="No"/>
    <n v="3"/>
    <s v="Graduate"/>
    <s v="No"/>
    <n v="2366"/>
    <n v="5272"/>
    <n v="153"/>
    <n v="360"/>
    <n v="0"/>
    <s v="Rural"/>
    <n v="7638"/>
    <n v="636.5"/>
    <n v="1176.4376298840305"/>
    <n v="1.848291641608846"/>
    <s v="High Risk"/>
    <s v="5k-10k"/>
    <x v="0"/>
    <n v="1"/>
    <x v="2"/>
  </r>
  <r>
    <x v="139"/>
    <s v="Male"/>
    <s v="Yes"/>
    <n v="2"/>
    <s v="Graduate"/>
    <s v="No"/>
    <n v="5000"/>
    <n v="0"/>
    <n v="149"/>
    <n v="360"/>
    <n v="1"/>
    <s v="Rural"/>
    <n v="5000"/>
    <n v="416.66666666666669"/>
    <n v="1145.6810905406571"/>
    <n v="2.749634617297577"/>
    <s v="Low Risk"/>
    <s v="5k-10k"/>
    <x v="0"/>
    <n v="0"/>
    <x v="2"/>
  </r>
  <r>
    <x v="140"/>
    <s v="Female"/>
    <s v="Yes"/>
    <n v="0"/>
    <s v="Graduate"/>
    <s v="No"/>
    <n v="7859"/>
    <n v="879"/>
    <n v="165"/>
    <n v="180"/>
    <n v="1"/>
    <s v="Semiurban"/>
    <n v="8738"/>
    <n v="728.16666666666663"/>
    <n v="1624.8202705772289"/>
    <n v="2.2313851278240726"/>
    <s v="Low Risk"/>
    <s v="5k-10k"/>
    <x v="0"/>
    <n v="0"/>
    <x v="1"/>
  </r>
  <r>
    <x v="141"/>
    <s v="Male"/>
    <s v="No"/>
    <n v="0"/>
    <s v="Graduate"/>
    <s v="No"/>
    <n v="3083"/>
    <n v="2738"/>
    <n v="120"/>
    <n v="360"/>
    <n v="1"/>
    <s v="Urban"/>
    <n v="5821"/>
    <n v="485.08333333333331"/>
    <n v="922.69618030120034"/>
    <n v="1.9021395230397533"/>
    <s v="Low Risk"/>
    <s v="5k-10k"/>
    <x v="0"/>
    <n v="0"/>
    <x v="0"/>
  </r>
  <r>
    <x v="142"/>
    <s v="Male"/>
    <s v="Yes"/>
    <n v="0"/>
    <s v="Graduate"/>
    <s v="No"/>
    <n v="5333"/>
    <n v="0"/>
    <n v="90"/>
    <n v="360"/>
    <n v="1"/>
    <s v="Rural"/>
    <n v="5333"/>
    <n v="444.41666666666669"/>
    <n v="692.02213522590023"/>
    <n v="1.5571471259536476"/>
    <s v="Low Risk"/>
    <s v="5k-10k"/>
    <x v="2"/>
    <n v="0"/>
    <x v="2"/>
  </r>
  <r>
    <x v="143"/>
    <s v="Male"/>
    <s v="No"/>
    <n v="0"/>
    <s v="Graduate"/>
    <s v="No"/>
    <n v="2875"/>
    <n v="2416"/>
    <n v="95"/>
    <n v="6"/>
    <n v="0"/>
    <s v="Semiurban"/>
    <n v="5291"/>
    <n v="440.91666666666669"/>
    <n v="16228.176862204025"/>
    <n v="36.805541929020656"/>
    <s v="High Risk"/>
    <s v="5k-10k"/>
    <x v="2"/>
    <n v="1"/>
    <x v="1"/>
  </r>
  <r>
    <x v="144"/>
    <s v="Male"/>
    <s v="Yes"/>
    <n v="2"/>
    <s v="Graduate"/>
    <s v="No"/>
    <n v="5041"/>
    <n v="700"/>
    <n v="150"/>
    <n v="360"/>
    <n v="1"/>
    <s v="Urban"/>
    <n v="5741"/>
    <n v="478.41666666666669"/>
    <n v="1153.3702253765005"/>
    <n v="2.4108069507956809"/>
    <s v="Low Risk"/>
    <s v="5k-10k"/>
    <x v="0"/>
    <n v="0"/>
    <x v="0"/>
  </r>
  <r>
    <x v="145"/>
    <s v="Male"/>
    <s v="Yes"/>
    <n v="3"/>
    <s v="Graduate"/>
    <s v="Yes"/>
    <n v="6958"/>
    <n v="1411"/>
    <n v="150"/>
    <n v="360"/>
    <n v="1"/>
    <s v="Rural"/>
    <n v="8369"/>
    <n v="697.41666666666663"/>
    <n v="1153.3702253765005"/>
    <n v="1.6537749676804883"/>
    <s v="Low Risk"/>
    <s v="5k-10k"/>
    <x v="0"/>
    <n v="0"/>
    <x v="2"/>
  </r>
  <r>
    <x v="146"/>
    <s v="Male"/>
    <s v="Yes"/>
    <n v="1"/>
    <s v="Graduate"/>
    <s v="No"/>
    <n v="3500"/>
    <n v="1658"/>
    <n v="104"/>
    <n v="360"/>
    <n v="0"/>
    <s v="Semiurban"/>
    <n v="5158"/>
    <n v="429.83333333333331"/>
    <n v="799.67002292770701"/>
    <n v="1.8604188203048633"/>
    <s v="High Risk"/>
    <s v="5k-10k"/>
    <x v="0"/>
    <n v="1"/>
    <x v="1"/>
  </r>
  <r>
    <x v="147"/>
    <s v="Male"/>
    <s v="Yes"/>
    <n v="0"/>
    <s v="Graduate"/>
    <s v="No"/>
    <n v="5509"/>
    <n v="0"/>
    <n v="143"/>
    <n v="360"/>
    <n v="1"/>
    <s v="Rural"/>
    <n v="5509"/>
    <n v="459.08333333333331"/>
    <n v="1099.5462815255971"/>
    <n v="2.3950908292443578"/>
    <s v="Low Risk"/>
    <s v="5k-10k"/>
    <x v="0"/>
    <n v="0"/>
    <x v="2"/>
  </r>
  <r>
    <x v="148"/>
    <s v="Male"/>
    <s v="Yes"/>
    <n v="3"/>
    <s v="Graduate"/>
    <s v="No"/>
    <n v="9699"/>
    <n v="0"/>
    <n v="300"/>
    <n v="360"/>
    <n v="1"/>
    <s v="Urban"/>
    <n v="9699"/>
    <n v="808.25"/>
    <n v="2306.7404507530009"/>
    <n v="2.8539937528648327"/>
    <s v="Low Risk"/>
    <s v="5k-10k"/>
    <x v="3"/>
    <n v="0"/>
    <x v="0"/>
  </r>
  <r>
    <x v="149"/>
    <s v="Female"/>
    <s v="Yes"/>
    <n v="1"/>
    <s v="Not Graduate"/>
    <s v="No"/>
    <n v="3621"/>
    <n v="2717"/>
    <n v="171"/>
    <n v="360"/>
    <n v="1"/>
    <s v="Urban"/>
    <n v="6338"/>
    <n v="528.16666666666663"/>
    <n v="1314.8420569292107"/>
    <n v="2.4894453586542329"/>
    <s v="Low Risk"/>
    <s v="5k-10k"/>
    <x v="0"/>
    <n v="0"/>
    <x v="0"/>
  </r>
  <r>
    <x v="150"/>
    <s v="Female"/>
    <s v="No"/>
    <n v="0"/>
    <s v="Not Graduate"/>
    <s v="No"/>
    <n v="3015"/>
    <n v="2000"/>
    <n v="145"/>
    <n v="360"/>
    <n v="0"/>
    <s v="Urban"/>
    <n v="5015"/>
    <n v="417.91666666666669"/>
    <n v="1114.9245511972838"/>
    <n v="2.6678154764441486"/>
    <s v="High Risk"/>
    <s v="5k-10k"/>
    <x v="0"/>
    <n v="1"/>
    <x v="0"/>
  </r>
  <r>
    <x v="151"/>
    <s v="Male"/>
    <s v="Yes"/>
    <n v="1"/>
    <s v="Graduate"/>
    <s v="Yes"/>
    <n v="2360"/>
    <n v="3355"/>
    <n v="87"/>
    <n v="240"/>
    <n v="1"/>
    <s v="Rural"/>
    <n v="5715"/>
    <n v="476.25"/>
    <n v="755.00621302801449"/>
    <n v="1.5853148829984556"/>
    <s v="Low Risk"/>
    <s v="5k-10k"/>
    <x v="2"/>
    <n v="0"/>
    <x v="2"/>
  </r>
  <r>
    <x v="152"/>
    <s v="Female"/>
    <s v="No"/>
    <n v="0"/>
    <s v="Graduate"/>
    <s v="No"/>
    <n v="4333"/>
    <n v="2333"/>
    <n v="162"/>
    <n v="360"/>
    <n v="0"/>
    <s v="Rural"/>
    <n v="6666"/>
    <n v="555.5"/>
    <n v="1245.6398434066205"/>
    <n v="2.2423759557274896"/>
    <s v="High Risk"/>
    <s v="5k-10k"/>
    <x v="0"/>
    <n v="1"/>
    <x v="2"/>
  </r>
  <r>
    <x v="153"/>
    <s v="Male"/>
    <s v="Yes"/>
    <n v="0"/>
    <s v="Graduate"/>
    <s v="Yes"/>
    <n v="2623"/>
    <n v="4831"/>
    <n v="122"/>
    <n v="180"/>
    <n v="1"/>
    <s v="Semiurban"/>
    <n v="7454"/>
    <n v="621.16666666666663"/>
    <n v="1201.3822606692238"/>
    <n v="1.934073937219035"/>
    <s v="Low Risk"/>
    <s v="5k-10k"/>
    <x v="0"/>
    <n v="0"/>
    <x v="1"/>
  </r>
  <r>
    <x v="154"/>
    <s v="Male"/>
    <s v="No"/>
    <n v="0"/>
    <s v="Graduate"/>
    <s v="Yes"/>
    <n v="3972"/>
    <n v="4275"/>
    <n v="187"/>
    <n v="360"/>
    <n v="1"/>
    <s v="Rural"/>
    <n v="8247"/>
    <n v="687.25"/>
    <n v="1437.8682143027038"/>
    <n v="2.0922054773411478"/>
    <s v="Low Risk"/>
    <s v="5k-10k"/>
    <x v="0"/>
    <n v="0"/>
    <x v="2"/>
  </r>
  <r>
    <x v="155"/>
    <s v="Male"/>
    <s v="No"/>
    <n v="0"/>
    <s v="Graduate"/>
    <s v="No"/>
    <n v="6858"/>
    <n v="0"/>
    <n v="176"/>
    <n v="360"/>
    <n v="1"/>
    <s v="Rural"/>
    <n v="6858"/>
    <n v="571.5"/>
    <n v="1353.2877311084274"/>
    <n v="2.3679575347479043"/>
    <s v="Low Risk"/>
    <s v="5k-10k"/>
    <x v="0"/>
    <n v="0"/>
    <x v="2"/>
  </r>
  <r>
    <x v="156"/>
    <s v="Male"/>
    <s v="Yes"/>
    <n v="3"/>
    <s v="Graduate"/>
    <s v="No"/>
    <n v="8334"/>
    <n v="0"/>
    <n v="260"/>
    <n v="360"/>
    <n v="1"/>
    <s v="Urban"/>
    <n v="8334"/>
    <n v="694.5"/>
    <n v="1999.1750573192676"/>
    <n v="2.8785817959960656"/>
    <s v="Low Risk"/>
    <s v="5k-10k"/>
    <x v="1"/>
    <n v="0"/>
    <x v="0"/>
  </r>
  <r>
    <x v="157"/>
    <s v="Male"/>
    <s v="Yes"/>
    <n v="0"/>
    <s v="Graduate"/>
    <s v="No"/>
    <n v="3391"/>
    <n v="1966"/>
    <n v="133"/>
    <n v="360"/>
    <n v="0"/>
    <s v="Rural"/>
    <n v="5357"/>
    <n v="446.41666666666669"/>
    <n v="1022.6549331671637"/>
    <n v="2.2908081385114736"/>
    <s v="High Risk"/>
    <s v="5k-10k"/>
    <x v="0"/>
    <n v="1"/>
    <x v="2"/>
  </r>
  <r>
    <x v="158"/>
    <s v="Male"/>
    <s v="Yes"/>
    <n v="2"/>
    <s v="Graduate"/>
    <s v="No"/>
    <n v="8667"/>
    <n v="0"/>
    <n v="254"/>
    <n v="360"/>
    <n v="1"/>
    <s v="Rural"/>
    <n v="8667"/>
    <n v="722.25"/>
    <n v="1953.0402483042074"/>
    <n v="2.7041055705146517"/>
    <s v="Low Risk"/>
    <s v="5k-10k"/>
    <x v="1"/>
    <n v="0"/>
    <x v="2"/>
  </r>
  <r>
    <x v="159"/>
    <s v="Male"/>
    <s v="Yes"/>
    <n v="0"/>
    <s v="Graduate"/>
    <s v="No"/>
    <n v="5817"/>
    <n v="910"/>
    <n v="109"/>
    <n v="360"/>
    <n v="1"/>
    <s v="Urban"/>
    <n v="6727"/>
    <n v="560.58333333333337"/>
    <n v="838.11569710692368"/>
    <n v="1.4950778006961623"/>
    <s v="Low Risk"/>
    <s v="5k-10k"/>
    <x v="0"/>
    <n v="0"/>
    <x v="0"/>
  </r>
  <r>
    <x v="160"/>
    <s v="Male"/>
    <s v="Yes"/>
    <n v="0"/>
    <s v="Graduate"/>
    <s v="No"/>
    <n v="5119"/>
    <n v="3769"/>
    <n v="120"/>
    <n v="360"/>
    <n v="1"/>
    <s v="Rural"/>
    <n v="8888"/>
    <n v="740.66666666666663"/>
    <n v="922.69618030120034"/>
    <n v="1.2457644198486053"/>
    <s v="Low Risk"/>
    <s v="5k-10k"/>
    <x v="0"/>
    <n v="0"/>
    <x v="2"/>
  </r>
  <r>
    <x v="161"/>
    <s v="Male"/>
    <s v="Yes"/>
    <n v="3"/>
    <s v="Not Graduate"/>
    <s v="No"/>
    <n v="5316"/>
    <n v="187"/>
    <n v="158"/>
    <n v="180"/>
    <n v="0"/>
    <s v="Semiurban"/>
    <n v="5503"/>
    <n v="458.58333333333331"/>
    <n v="1555.8885015224373"/>
    <n v="3.3928151950334815"/>
    <s v="High Risk"/>
    <s v="5k-10k"/>
    <x v="0"/>
    <n v="1"/>
    <x v="1"/>
  </r>
  <r>
    <x v="162"/>
    <s v="Male"/>
    <s v="Yes"/>
    <n v="3"/>
    <s v="Graduate"/>
    <s v="No"/>
    <n v="7603"/>
    <n v="1213"/>
    <n v="197"/>
    <n v="360"/>
    <n v="1"/>
    <s v="Urban"/>
    <n v="8816"/>
    <n v="734.66666666666663"/>
    <n v="1514.7595626611371"/>
    <n v="2.0618324355641615"/>
    <s v="Low Risk"/>
    <s v="5k-10k"/>
    <x v="0"/>
    <n v="0"/>
    <x v="0"/>
  </r>
  <r>
    <x v="163"/>
    <s v="Male"/>
    <s v="Yes"/>
    <n v="1"/>
    <s v="Graduate"/>
    <s v="No"/>
    <n v="3791"/>
    <n v="1936"/>
    <n v="85"/>
    <n v="360"/>
    <n v="1"/>
    <s v="Urban"/>
    <n v="5727"/>
    <n v="477.25"/>
    <n v="653.57646104668356"/>
    <n v="1.3694635118840934"/>
    <s v="Low Risk"/>
    <s v="5k-10k"/>
    <x v="2"/>
    <n v="0"/>
    <x v="0"/>
  </r>
  <r>
    <x v="164"/>
    <s v="Male"/>
    <s v="No"/>
    <n v="0"/>
    <s v="Graduate"/>
    <s v="No"/>
    <n v="4000"/>
    <n v="2667"/>
    <n v="152"/>
    <n v="360"/>
    <n v="1"/>
    <s v="Semiurban"/>
    <n v="6667"/>
    <n v="555.58333333333337"/>
    <n v="1168.7484950481871"/>
    <n v="2.1036421089812878"/>
    <s v="Low Risk"/>
    <s v="5k-10k"/>
    <x v="0"/>
    <n v="0"/>
    <x v="1"/>
  </r>
  <r>
    <x v="165"/>
    <s v="Male"/>
    <s v="Yes"/>
    <n v="3"/>
    <s v="Not Graduate"/>
    <s v="Yes"/>
    <n v="4009"/>
    <n v="1777"/>
    <n v="113"/>
    <n v="360"/>
    <n v="1"/>
    <s v="Urban"/>
    <n v="5786"/>
    <n v="482.16666666666669"/>
    <n v="868.87223645029701"/>
    <n v="1.8020163908405744"/>
    <s v="Low Risk"/>
    <s v="5k-10k"/>
    <x v="0"/>
    <n v="0"/>
    <x v="0"/>
  </r>
  <r>
    <x v="166"/>
    <s v="Male"/>
    <s v="No"/>
    <n v="0"/>
    <s v="Graduate"/>
    <s v="No"/>
    <n v="3250"/>
    <n v="1993"/>
    <n v="126"/>
    <n v="360"/>
    <n v="0"/>
    <s v="Semiurban"/>
    <n v="5243"/>
    <n v="436.91666666666669"/>
    <n v="968.83098931626046"/>
    <n v="2.217427402593005"/>
    <s v="High Risk"/>
    <s v="5k-10k"/>
    <x v="0"/>
    <n v="1"/>
    <x v="1"/>
  </r>
  <r>
    <x v="167"/>
    <s v="Male"/>
    <s v="Yes"/>
    <n v="0"/>
    <s v="Graduate"/>
    <s v="No"/>
    <n v="5000"/>
    <n v="2393"/>
    <n v="158"/>
    <n v="360"/>
    <n v="1"/>
    <s v="Rural"/>
    <n v="7393"/>
    <n v="616.08333333333337"/>
    <n v="1214.8833040632471"/>
    <n v="1.9719463883077186"/>
    <s v="Low Risk"/>
    <s v="5k-10k"/>
    <x v="0"/>
    <n v="0"/>
    <x v="2"/>
  </r>
  <r>
    <x v="168"/>
    <s v="Male"/>
    <s v="No"/>
    <n v="0"/>
    <s v="Graduate"/>
    <s v="Yes"/>
    <n v="9200"/>
    <n v="0"/>
    <n v="98"/>
    <n v="180"/>
    <n v="1"/>
    <s v="Rural"/>
    <n v="9200"/>
    <n v="766.66666666666663"/>
    <n v="965.04476676708134"/>
    <n v="1.2587540436092366"/>
    <s v="Low Risk"/>
    <s v="5k-10k"/>
    <x v="2"/>
    <n v="0"/>
    <x v="2"/>
  </r>
  <r>
    <x v="169"/>
    <s v="Male"/>
    <s v="No"/>
    <n v="0"/>
    <s v="Graduate"/>
    <s v="No"/>
    <n v="0"/>
    <n v="24000"/>
    <n v="148"/>
    <n v="360"/>
    <n v="0"/>
    <s v="Rural"/>
    <n v="24000"/>
    <n v="2000"/>
    <n v="1137.9919557048138"/>
    <n v="0.56899597785240685"/>
    <s v="High Risk"/>
    <s v="20k-40k"/>
    <x v="0"/>
    <n v="1"/>
    <x v="2"/>
  </r>
  <r>
    <x v="170"/>
    <s v="Male"/>
    <s v="Yes"/>
    <n v="0"/>
    <s v="Graduate"/>
    <s v="Yes"/>
    <n v="32000"/>
    <n v="0"/>
    <n v="550"/>
    <n v="360"/>
    <n v="0"/>
    <s v="Semiurban"/>
    <n v="32000"/>
    <n v="2666.6666666666665"/>
    <n v="4229.0241597138347"/>
    <n v="1.5858840598926882"/>
    <s v="High Risk"/>
    <s v="20k-40k"/>
    <x v="4"/>
    <n v="1"/>
    <x v="1"/>
  </r>
  <r>
    <x v="171"/>
    <s v="Male"/>
    <s v="No"/>
    <n v="0"/>
    <s v="Graduate"/>
    <s v="No"/>
    <n v="14911"/>
    <n v="14507"/>
    <n v="130"/>
    <n v="360"/>
    <n v="1"/>
    <s v="Semiurban"/>
    <n v="29418"/>
    <n v="2451.5"/>
    <n v="999.58752865963379"/>
    <n v="0.40774526969595504"/>
    <s v="Low Risk"/>
    <s v="20k-40k"/>
    <x v="0"/>
    <n v="0"/>
    <x v="1"/>
  </r>
  <r>
    <x v="172"/>
    <s v="Male"/>
    <s v="Yes"/>
    <n v="2"/>
    <s v="Not Graduate"/>
    <s v="No"/>
    <n v="6166"/>
    <n v="13983"/>
    <n v="102"/>
    <n v="360"/>
    <n v="1"/>
    <s v="Rural"/>
    <n v="20149"/>
    <n v="1679.0833333333333"/>
    <n v="784.29175325602023"/>
    <n v="0.46709519276749434"/>
    <s v="Low Risk"/>
    <s v="20k-40k"/>
    <x v="0"/>
    <n v="0"/>
    <x v="2"/>
  </r>
  <r>
    <x v="173"/>
    <s v="Male"/>
    <s v="No"/>
    <n v="1"/>
    <s v="Graduate"/>
    <s v="No"/>
    <n v="24797"/>
    <n v="0"/>
    <n v="240"/>
    <n v="360"/>
    <n v="1"/>
    <s v="Semiurban"/>
    <n v="24797"/>
    <n v="2066.4166666666665"/>
    <n v="1845.3923606024007"/>
    <n v="0.89303981639830665"/>
    <s v="Low Risk"/>
    <s v="20k-40k"/>
    <x v="1"/>
    <n v="0"/>
    <x v="1"/>
  </r>
  <r>
    <x v="174"/>
    <s v="Male"/>
    <s v="No"/>
    <n v="0"/>
    <s v="Graduate"/>
    <s v="No"/>
    <n v="29167"/>
    <n v="0"/>
    <n v="185"/>
    <n v="360"/>
    <n v="1"/>
    <s v="Semiurban"/>
    <n v="29167"/>
    <n v="2430.5833333333335"/>
    <n v="1422.4899446310171"/>
    <n v="0.58524631726170684"/>
    <s v="Low Risk"/>
    <s v="20k-40k"/>
    <x v="0"/>
    <n v="0"/>
    <x v="1"/>
  </r>
  <r>
    <x v="175"/>
    <s v="Female"/>
    <s v="Yes"/>
    <n v="2"/>
    <s v="Graduate"/>
    <s v="No"/>
    <n v="10000"/>
    <n v="11666"/>
    <n v="460"/>
    <n v="360"/>
    <n v="1"/>
    <s v="Urban"/>
    <n v="21666"/>
    <n v="1805.5"/>
    <n v="3537.0020244879347"/>
    <n v="1.95901524480085"/>
    <s v="Low Risk"/>
    <s v="20k-40k"/>
    <x v="5"/>
    <n v="0"/>
    <x v="0"/>
  </r>
  <r>
    <x v="176"/>
    <s v="Male"/>
    <s v="No"/>
    <n v="1"/>
    <s v="Graduate"/>
    <s v="No"/>
    <n v="16000"/>
    <n v="5000"/>
    <n v="40"/>
    <n v="360"/>
    <n v="1"/>
    <s v="Semiurban"/>
    <n v="21000"/>
    <n v="1750"/>
    <n v="307.56539343373345"/>
    <n v="0.17575165339070484"/>
    <s v="Low Risk"/>
    <s v="20k-40k"/>
    <x v="2"/>
    <n v="0"/>
    <x v="1"/>
  </r>
  <r>
    <x v="177"/>
    <s v="Male"/>
    <s v="Yes"/>
    <n v="2"/>
    <s v="Graduate"/>
    <s v="No"/>
    <n v="13633"/>
    <n v="0"/>
    <n v="280"/>
    <n v="240"/>
    <n v="1"/>
    <s v="Urban"/>
    <n v="13633"/>
    <n v="1136.0833333333333"/>
    <n v="2429.9050534234952"/>
    <n v="2.1388440285397157"/>
    <s v="Low Risk"/>
    <s v="10k-20k"/>
    <x v="1"/>
    <n v="0"/>
    <x v="0"/>
  </r>
  <r>
    <x v="178"/>
    <s v="Male"/>
    <s v="Yes"/>
    <n v="2"/>
    <s v="Graduate"/>
    <s v="No"/>
    <n v="12173"/>
    <n v="0"/>
    <n v="166"/>
    <n v="360"/>
    <n v="0"/>
    <s v="Semiurban"/>
    <n v="12173"/>
    <n v="1014.4166666666666"/>
    <n v="1276.3963827499938"/>
    <n v="1.2582565179495544"/>
    <s v="High Risk"/>
    <s v="10k-20k"/>
    <x v="0"/>
    <n v="1"/>
    <x v="1"/>
  </r>
  <r>
    <x v="179"/>
    <s v="Male"/>
    <s v="Yes"/>
    <n v="0"/>
    <s v="Graduate"/>
    <s v="No"/>
    <n v="9226"/>
    <n v="7916"/>
    <n v="300"/>
    <n v="360"/>
    <n v="1"/>
    <s v="Urban"/>
    <n v="17142"/>
    <n v="1428.5"/>
    <n v="2306.7404507530009"/>
    <n v="1.6147990554798746"/>
    <s v="Low Risk"/>
    <s v="10k-20k"/>
    <x v="3"/>
    <n v="0"/>
    <x v="0"/>
  </r>
  <r>
    <x v="180"/>
    <s v="Male"/>
    <s v="Yes"/>
    <n v="0"/>
    <s v="Graduate"/>
    <s v="No"/>
    <n v="7500"/>
    <n v="3750"/>
    <n v="275"/>
    <n v="360"/>
    <n v="1"/>
    <s v="Urban"/>
    <n v="11250"/>
    <n v="937.5"/>
    <n v="2114.5120798569174"/>
    <n v="2.2554795518473787"/>
    <s v="Low Risk"/>
    <s v="10k-20k"/>
    <x v="1"/>
    <n v="0"/>
    <x v="0"/>
  </r>
  <r>
    <x v="181"/>
    <s v="Male"/>
    <s v="Yes"/>
    <n v="2"/>
    <s v="Graduate"/>
    <s v="No"/>
    <n v="7350"/>
    <n v="4029"/>
    <n v="185"/>
    <n v="180"/>
    <n v="1"/>
    <s v="Urban"/>
    <n v="11379"/>
    <n v="948.25"/>
    <n v="1821.7681821623476"/>
    <n v="1.9211897518189798"/>
    <s v="Low Risk"/>
    <s v="10k-20k"/>
    <x v="0"/>
    <n v="0"/>
    <x v="0"/>
  </r>
  <r>
    <x v="182"/>
    <s v="Male"/>
    <s v="No"/>
    <n v="0"/>
    <s v="Graduate"/>
    <s v="No"/>
    <n v="6792"/>
    <n v="3338"/>
    <n v="187"/>
    <n v="360"/>
    <n v="1"/>
    <s v="Urban"/>
    <n v="10130"/>
    <n v="844.16666666666663"/>
    <n v="1437.8682143027038"/>
    <n v="1.7032989705461448"/>
    <s v="Low Risk"/>
    <s v="10k-20k"/>
    <x v="0"/>
    <n v="0"/>
    <x v="0"/>
  </r>
  <r>
    <x v="183"/>
    <s v="Male"/>
    <s v="Yes"/>
    <n v="2"/>
    <s v="Graduate"/>
    <s v="No"/>
    <n v="4635"/>
    <n v="8000"/>
    <n v="102"/>
    <n v="180"/>
    <n v="1"/>
    <s v="Rural"/>
    <n v="12635"/>
    <n v="1052.9166666666667"/>
    <n v="1004.4343490841051"/>
    <n v="0.95395426901537472"/>
    <s v="Low Risk"/>
    <s v="10k-20k"/>
    <x v="0"/>
    <n v="0"/>
    <x v="2"/>
  </r>
  <r>
    <x v="184"/>
    <s v="Male"/>
    <s v="Yes"/>
    <n v="3"/>
    <s v="Graduate"/>
    <s v="No"/>
    <n v="13518"/>
    <n v="0"/>
    <n v="390"/>
    <n v="360"/>
    <n v="1"/>
    <s v="Rural"/>
    <n v="13518"/>
    <n v="1126.5"/>
    <n v="2998.7625859789014"/>
    <n v="2.6620173865769208"/>
    <s v="Low Risk"/>
    <s v="10k-20k"/>
    <x v="3"/>
    <n v="0"/>
    <x v="2"/>
  </r>
  <r>
    <x v="185"/>
    <s v="Female"/>
    <s v="No"/>
    <n v="0"/>
    <s v="Graduate"/>
    <s v="No"/>
    <n v="12500"/>
    <n v="0"/>
    <n v="300"/>
    <n v="360"/>
    <n v="0"/>
    <s v="Urban"/>
    <n v="12500"/>
    <n v="1041.6666666666667"/>
    <n v="2306.7404507530009"/>
    <n v="2.2144708327228808"/>
    <s v="High Risk"/>
    <s v="10k-20k"/>
    <x v="3"/>
    <n v="1"/>
    <x v="0"/>
  </r>
  <r>
    <x v="186"/>
    <s v="Male"/>
    <s v="Yes"/>
    <n v="2"/>
    <s v="Graduate"/>
    <s v="Yes"/>
    <n v="10890"/>
    <n v="0"/>
    <n v="260"/>
    <n v="12"/>
    <n v="1"/>
    <s v="Rural"/>
    <n v="10890"/>
    <n v="907.5"/>
    <n v="22677.143439624109"/>
    <n v="24.988587812257972"/>
    <s v="Low Risk"/>
    <s v="10k-20k"/>
    <x v="1"/>
    <n v="0"/>
    <x v="2"/>
  </r>
  <r>
    <x v="187"/>
    <s v="Female"/>
    <s v="No"/>
    <n v="0"/>
    <s v="Graduate"/>
    <s v="No"/>
    <n v="12941"/>
    <n v="0"/>
    <n v="150"/>
    <n v="300"/>
    <n v="1"/>
    <s v="Urban"/>
    <n v="12941"/>
    <n v="1078.4166666666667"/>
    <n v="1207.840625193197"/>
    <n v="1.1200129435374671"/>
    <s v="Low Risk"/>
    <s v="10k-20k"/>
    <x v="0"/>
    <n v="0"/>
    <x v="0"/>
  </r>
  <r>
    <x v="188"/>
    <s v="Male"/>
    <s v="Yes"/>
    <n v="3"/>
    <s v="Graduate"/>
    <s v="No"/>
    <n v="15312"/>
    <n v="0"/>
    <n v="187"/>
    <n v="360"/>
    <n v="0"/>
    <s v="Urban"/>
    <n v="15312"/>
    <n v="1276"/>
    <n v="1437.8682143027038"/>
    <n v="1.1268559673218681"/>
    <s v="High Risk"/>
    <s v="10k-20k"/>
    <x v="0"/>
    <n v="1"/>
    <x v="0"/>
  </r>
  <r>
    <x v="189"/>
    <s v="Male"/>
    <s v="Yes"/>
    <n v="3"/>
    <s v="Graduate"/>
    <s v="No"/>
    <n v="10166"/>
    <n v="750"/>
    <n v="150"/>
    <n v="360"/>
    <n v="1"/>
    <s v="Urban"/>
    <n v="10916"/>
    <n v="909.66666666666663"/>
    <n v="1153.3702253765005"/>
    <n v="1.2679042418942841"/>
    <s v="Low Risk"/>
    <s v="10k-20k"/>
    <x v="0"/>
    <n v="0"/>
    <x v="0"/>
  </r>
  <r>
    <x v="190"/>
    <s v="Male"/>
    <s v="Yes"/>
    <n v="0"/>
    <s v="Not Graduate"/>
    <s v="No"/>
    <n v="13083"/>
    <n v="0"/>
    <n v="125"/>
    <n v="360"/>
    <n v="1"/>
    <s v="Rural"/>
    <n v="13083"/>
    <n v="1090.25"/>
    <n v="961.14185448041712"/>
    <n v="0.88157932078002033"/>
    <s v="Low Risk"/>
    <s v="10k-20k"/>
    <x v="0"/>
    <n v="0"/>
    <x v="2"/>
  </r>
  <r>
    <x v="191"/>
    <s v="Male"/>
    <s v="Yes"/>
    <n v="2"/>
    <s v="Graduate"/>
    <s v="No"/>
    <n v="7874"/>
    <n v="3967"/>
    <n v="336"/>
    <n v="360"/>
    <n v="1"/>
    <s v="Rural"/>
    <n v="11841"/>
    <n v="986.75"/>
    <n v="2583.5493048433609"/>
    <n v="2.6182409980677588"/>
    <s v="Low Risk"/>
    <s v="10k-20k"/>
    <x v="3"/>
    <n v="0"/>
    <x v="2"/>
  </r>
  <r>
    <x v="192"/>
    <s v="Male"/>
    <s v="Yes"/>
    <n v="1"/>
    <s v="Graduate"/>
    <s v="No"/>
    <n v="10000"/>
    <n v="2690"/>
    <n v="412"/>
    <n v="360"/>
    <n v="1"/>
    <s v="Semiurban"/>
    <n v="12690"/>
    <n v="1057.5"/>
    <n v="3167.9235523674547"/>
    <n v="2.9956723899455837"/>
    <s v="Low Risk"/>
    <s v="10k-20k"/>
    <x v="5"/>
    <n v="0"/>
    <x v="1"/>
  </r>
  <r>
    <x v="193"/>
    <s v="Male"/>
    <s v="Yes"/>
    <n v="0"/>
    <s v="Graduate"/>
    <s v="No"/>
    <n v="7830"/>
    <n v="2183"/>
    <n v="212"/>
    <n v="360"/>
    <n v="1"/>
    <s v="Rural"/>
    <n v="10013"/>
    <n v="834.41666666666663"/>
    <n v="1630.0965851987874"/>
    <n v="1.9535762531095024"/>
    <s v="Low Risk"/>
    <s v="10k-20k"/>
    <x v="1"/>
    <n v="0"/>
    <x v="2"/>
  </r>
  <r>
    <x v="194"/>
    <s v="Male"/>
    <s v="Yes"/>
    <n v="0"/>
    <s v="Graduate"/>
    <s v="No"/>
    <n v="10000"/>
    <n v="0"/>
    <n v="125"/>
    <n v="360"/>
    <n v="1"/>
    <s v="Urban"/>
    <n v="10000"/>
    <n v="833.33333333333337"/>
    <n v="961.14185448041712"/>
    <n v="1.1533702253765006"/>
    <s v="Low Risk"/>
    <s v="10k-20k"/>
    <x v="0"/>
    <n v="0"/>
    <x v="0"/>
  </r>
  <r>
    <x v="195"/>
    <s v="Male"/>
    <s v="Yes"/>
    <n v="1"/>
    <s v="Graduate"/>
    <s v="No"/>
    <n v="18840"/>
    <n v="0"/>
    <n v="234"/>
    <n v="360"/>
    <n v="1"/>
    <s v="Rural"/>
    <n v="18840"/>
    <n v="1570"/>
    <n v="1799.2575515873407"/>
    <n v="1.1460239182084972"/>
    <s v="Low Risk"/>
    <s v="10k-20k"/>
    <x v="1"/>
    <n v="0"/>
    <x v="2"/>
  </r>
  <r>
    <x v="196"/>
    <s v="Male"/>
    <s v="Yes"/>
    <n v="1"/>
    <s v="Graduate"/>
    <s v="No"/>
    <n v="8333"/>
    <n v="4000"/>
    <n v="125"/>
    <n v="360"/>
    <n v="1"/>
    <s v="Urban"/>
    <n v="12333"/>
    <n v="1027.75"/>
    <n v="961.14185448041712"/>
    <n v="0.93519032301670357"/>
    <s v="Low Risk"/>
    <s v="10k-20k"/>
    <x v="0"/>
    <n v="0"/>
    <x v="0"/>
  </r>
  <r>
    <x v="197"/>
    <s v="Female"/>
    <s v="No"/>
    <n v="0"/>
    <s v="Graduate"/>
    <s v="Yes"/>
    <n v="14987"/>
    <n v="0"/>
    <n v="177"/>
    <n v="360"/>
    <n v="1"/>
    <s v="Rural"/>
    <n v="14987"/>
    <n v="1248.9166666666667"/>
    <n v="1360.9768659442707"/>
    <n v="1.0897259218877191"/>
    <s v="Low Risk"/>
    <s v="10k-20k"/>
    <x v="0"/>
    <n v="0"/>
    <x v="2"/>
  </r>
  <r>
    <x v="198"/>
    <s v="Male"/>
    <s v="No"/>
    <n v="0"/>
    <s v="Graduate"/>
    <s v="No"/>
    <n v="2283"/>
    <n v="15000"/>
    <n v="106"/>
    <n v="360"/>
    <n v="0"/>
    <s v="Rural"/>
    <n v="17283"/>
    <n v="1440.25"/>
    <n v="815.04829259939368"/>
    <n v="0.56590751091782232"/>
    <s v="High Risk"/>
    <s v="10k-20k"/>
    <x v="0"/>
    <n v="1"/>
    <x v="2"/>
  </r>
  <r>
    <x v="199"/>
    <s v="Female"/>
    <s v="Yes"/>
    <n v="0"/>
    <s v="Graduate"/>
    <s v="No"/>
    <n v="8550"/>
    <n v="4255"/>
    <n v="96"/>
    <n v="360"/>
    <n v="0"/>
    <s v="Urban"/>
    <n v="12805"/>
    <n v="1067.0833333333333"/>
    <n v="738.15694424096023"/>
    <n v="0.69175191963229388"/>
    <s v="High Risk"/>
    <s v="10k-20k"/>
    <x v="2"/>
    <n v="1"/>
    <x v="0"/>
  </r>
  <r>
    <x v="200"/>
    <s v="Male"/>
    <s v="Yes"/>
    <n v="3"/>
    <s v="Graduate"/>
    <s v="No"/>
    <n v="72529"/>
    <n v="0"/>
    <n v="360"/>
    <n v="360"/>
    <n v="1"/>
    <s v="Urban"/>
    <n v="72529"/>
    <n v="6044.083333333333"/>
    <n v="2768.0885409036009"/>
    <n v="0.45798318590968046"/>
    <s v="Low Risk"/>
    <s v="&gt;60k"/>
    <x v="3"/>
    <n v="0"/>
    <x v="0"/>
  </r>
  <r>
    <x v="201"/>
    <s v="Male"/>
    <s v="Yes"/>
    <n v="1"/>
    <s v="Graduate"/>
    <s v="No"/>
    <n v="3076"/>
    <n v="1500"/>
    <n v="126"/>
    <n v="360"/>
    <n v="1"/>
    <s v="Urban"/>
    <n v="4576"/>
    <n v="381.33333333333331"/>
    <n v="968.83098931626046"/>
    <n v="2.5406407062489347"/>
    <s v="Low Risk"/>
    <s v="&lt;5k"/>
    <x v="0"/>
    <n v="0"/>
    <x v="0"/>
  </r>
  <r>
    <x v="202"/>
    <s v="Male"/>
    <s v="Yes"/>
    <n v="2"/>
    <s v="Graduate"/>
    <s v="No"/>
    <n v="2340"/>
    <n v="2546"/>
    <n v="100"/>
    <n v="360"/>
    <n v="0"/>
    <s v="Urban"/>
    <n v="4886"/>
    <n v="407.16666666666669"/>
    <n v="768.91348358433368"/>
    <n v="1.8884489977511265"/>
    <s v="High Risk"/>
    <s v="&lt;5k"/>
    <x v="0"/>
    <n v="1"/>
    <x v="0"/>
  </r>
  <r>
    <x v="203"/>
    <s v="Male"/>
    <s v="No"/>
    <n v="0"/>
    <s v="Not Graduate"/>
    <s v="No"/>
    <n v="3276"/>
    <n v="0"/>
    <n v="78"/>
    <n v="360"/>
    <n v="1"/>
    <s v="Urban"/>
    <n v="3276"/>
    <n v="273"/>
    <n v="599.75251719578023"/>
    <n v="2.1968956673838105"/>
    <s v="Low Risk"/>
    <s v="&lt;5k"/>
    <x v="2"/>
    <n v="0"/>
    <x v="0"/>
  </r>
  <r>
    <x v="204"/>
    <s v="Female"/>
    <s v="No"/>
    <n v="1"/>
    <s v="Not Graduate"/>
    <s v="No"/>
    <n v="2226"/>
    <n v="0"/>
    <n v="59"/>
    <n v="360"/>
    <n v="1"/>
    <s v="Semiurban"/>
    <n v="2226"/>
    <n v="185.5"/>
    <n v="453.65895531475684"/>
    <n v="2.4456008372763174"/>
    <s v="Low Risk"/>
    <s v="&lt;5k"/>
    <x v="2"/>
    <n v="0"/>
    <x v="1"/>
  </r>
  <r>
    <x v="205"/>
    <s v="Male"/>
    <s v="Yes"/>
    <n v="2"/>
    <s v="Not Graduate"/>
    <s v="No"/>
    <n v="3881"/>
    <n v="0"/>
    <n v="147"/>
    <n v="360"/>
    <n v="0"/>
    <s v="Rural"/>
    <n v="3881"/>
    <n v="323.41666666666669"/>
    <n v="1130.3028208689702"/>
    <n v="3.4948811776417528"/>
    <s v="High Risk"/>
    <s v="&lt;5k"/>
    <x v="0"/>
    <n v="1"/>
    <x v="2"/>
  </r>
  <r>
    <x v="206"/>
    <s v="Male"/>
    <s v="No"/>
    <n v="0"/>
    <s v="Not Graduate"/>
    <s v="No"/>
    <n v="2400"/>
    <n v="2400"/>
    <n v="123"/>
    <n v="360"/>
    <n v="1"/>
    <s v="Semiurban"/>
    <n v="4800"/>
    <n v="400"/>
    <n v="945.76358480873034"/>
    <n v="2.3644089620218258"/>
    <s v="Low Risk"/>
    <s v="&lt;5k"/>
    <x v="0"/>
    <n v="0"/>
    <x v="1"/>
  </r>
  <r>
    <x v="207"/>
    <s v="Male"/>
    <s v="No"/>
    <n v="0"/>
    <s v="Not Graduate"/>
    <s v="No"/>
    <n v="3091"/>
    <n v="0"/>
    <n v="90"/>
    <n v="360"/>
    <n v="1"/>
    <s v="Urban"/>
    <n v="3091"/>
    <n v="257.58333333333331"/>
    <n v="692.02213522590023"/>
    <n v="2.6865951545489497"/>
    <s v="Low Risk"/>
    <s v="&lt;5k"/>
    <x v="2"/>
    <n v="0"/>
    <x v="0"/>
  </r>
  <r>
    <x v="208"/>
    <s v="Male"/>
    <s v="Yes"/>
    <n v="1"/>
    <s v="Graduate"/>
    <s v="No"/>
    <n v="2185"/>
    <n v="1516"/>
    <n v="162"/>
    <n v="360"/>
    <n v="1"/>
    <s v="Semiurban"/>
    <n v="3701"/>
    <n v="308.41666666666669"/>
    <n v="1245.6398434066205"/>
    <n v="4.0388214322830169"/>
    <s v="Low Risk"/>
    <s v="&lt;5k"/>
    <x v="0"/>
    <n v="0"/>
    <x v="1"/>
  </r>
  <r>
    <x v="209"/>
    <s v="Male"/>
    <s v="No"/>
    <n v="3"/>
    <s v="Graduate"/>
    <s v="No"/>
    <n v="4166"/>
    <n v="0"/>
    <n v="40"/>
    <n v="180"/>
    <n v="0"/>
    <s v="Urban"/>
    <n v="4166"/>
    <n v="347.16666666666669"/>
    <n v="393.89582317023729"/>
    <n v="1.1346015069713988"/>
    <s v="High Risk"/>
    <s v="&lt;5k"/>
    <x v="2"/>
    <n v="1"/>
    <x v="0"/>
  </r>
  <r>
    <x v="210"/>
    <s v="Female"/>
    <s v="No"/>
    <n v="0"/>
    <s v="Graduate"/>
    <s v="No"/>
    <n v="4666"/>
    <n v="0"/>
    <n v="124"/>
    <n v="360"/>
    <n v="1"/>
    <s v="Semiurban"/>
    <n v="4666"/>
    <n v="388.83333333333331"/>
    <n v="953.45271964457379"/>
    <n v="2.4520858627807298"/>
    <s v="Low Risk"/>
    <s v="&lt;5k"/>
    <x v="0"/>
    <n v="0"/>
    <x v="1"/>
  </r>
  <r>
    <x v="211"/>
    <s v="Male"/>
    <s v="Yes"/>
    <n v="3"/>
    <s v="Graduate"/>
    <s v="No"/>
    <n v="3786"/>
    <n v="333"/>
    <n v="126"/>
    <n v="360"/>
    <n v="1"/>
    <s v="Semiurban"/>
    <n v="4119"/>
    <n v="343.25"/>
    <n v="968.83098931626046"/>
    <n v="2.8225229113365198"/>
    <s v="Low Risk"/>
    <s v="&lt;5k"/>
    <x v="0"/>
    <n v="0"/>
    <x v="1"/>
  </r>
  <r>
    <x v="212"/>
    <s v="Male"/>
    <s v="No"/>
    <n v="0"/>
    <s v="Graduate"/>
    <s v="No"/>
    <n v="1300"/>
    <n v="3470"/>
    <n v="100"/>
    <n v="180"/>
    <n v="1"/>
    <s v="Semiurban"/>
    <n v="4770"/>
    <n v="397.5"/>
    <n v="984.7395579255932"/>
    <n v="2.4773322211964608"/>
    <s v="Low Risk"/>
    <s v="&lt;5k"/>
    <x v="0"/>
    <n v="0"/>
    <x v="1"/>
  </r>
  <r>
    <x v="213"/>
    <s v="Male"/>
    <s v="Yes"/>
    <n v="1"/>
    <s v="Not Graduate"/>
    <s v="No"/>
    <n v="1888"/>
    <n v="1620"/>
    <n v="48"/>
    <n v="360"/>
    <n v="1"/>
    <s v="Urban"/>
    <n v="3508"/>
    <n v="292.33333333333331"/>
    <n v="369.07847212048011"/>
    <n v="1.2625261304007303"/>
    <s v="Low Risk"/>
    <s v="&lt;5k"/>
    <x v="2"/>
    <n v="0"/>
    <x v="0"/>
  </r>
  <r>
    <x v="214"/>
    <s v="Female"/>
    <s v="No"/>
    <n v="3"/>
    <s v="Not Graduate"/>
    <s v="No"/>
    <n v="2083"/>
    <n v="0"/>
    <n v="28"/>
    <n v="180"/>
    <n v="1"/>
    <s v="Urban"/>
    <n v="2083"/>
    <n v="173.58333333333334"/>
    <n v="275.72707621916612"/>
    <n v="1.5884421097599584"/>
    <s v="Low Risk"/>
    <s v="&lt;5k"/>
    <x v="2"/>
    <n v="0"/>
    <x v="0"/>
  </r>
  <r>
    <x v="215"/>
    <s v="Male"/>
    <s v="No"/>
    <n v="0"/>
    <s v="Graduate"/>
    <s v="No"/>
    <n v="3909"/>
    <n v="0"/>
    <n v="101"/>
    <n v="360"/>
    <n v="1"/>
    <s v="Urban"/>
    <n v="3909"/>
    <n v="325.75"/>
    <n v="776.60261842017701"/>
    <n v="2.3840448761939435"/>
    <s v="Low Risk"/>
    <s v="&lt;5k"/>
    <x v="0"/>
    <n v="0"/>
    <x v="0"/>
  </r>
  <r>
    <x v="216"/>
    <s v="Female"/>
    <s v="No"/>
    <n v="0"/>
    <s v="Not Graduate"/>
    <s v="No"/>
    <n v="3765"/>
    <n v="0"/>
    <n v="125"/>
    <n v="360"/>
    <n v="1"/>
    <s v="Urban"/>
    <n v="3765"/>
    <n v="313.75"/>
    <n v="961.14185448041712"/>
    <n v="3.0634003330053137"/>
    <s v="Low Risk"/>
    <s v="&lt;5k"/>
    <x v="0"/>
    <n v="0"/>
    <x v="0"/>
  </r>
  <r>
    <x v="217"/>
    <s v="Male"/>
    <s v="Yes"/>
    <n v="0"/>
    <s v="Graduate"/>
    <s v="No"/>
    <n v="3772"/>
    <n v="833"/>
    <n v="57"/>
    <n v="360"/>
    <n v="0"/>
    <s v="Semiurban"/>
    <n v="4605"/>
    <n v="383.75"/>
    <n v="438.28068564307017"/>
    <n v="1.1420995065617463"/>
    <s v="High Risk"/>
    <s v="&lt;5k"/>
    <x v="2"/>
    <n v="1"/>
    <x v="1"/>
  </r>
  <r>
    <x v="218"/>
    <s v="Female"/>
    <s v="No"/>
    <n v="0"/>
    <s v="Not Graduate"/>
    <s v="No"/>
    <n v="2478"/>
    <n v="0"/>
    <n v="75"/>
    <n v="360"/>
    <n v="1"/>
    <s v="Semiurban"/>
    <n v="2478"/>
    <n v="206.5"/>
    <n v="576.68511268825023"/>
    <n v="2.7926639839624707"/>
    <s v="Low Risk"/>
    <s v="&lt;5k"/>
    <x v="2"/>
    <n v="0"/>
    <x v="1"/>
  </r>
  <r>
    <x v="219"/>
    <s v="Male"/>
    <s v="No"/>
    <n v="0"/>
    <s v="Graduate"/>
    <s v="No"/>
    <n v="3268"/>
    <n v="1683"/>
    <n v="152"/>
    <n v="360"/>
    <n v="1"/>
    <s v="Semiurban"/>
    <n v="4951"/>
    <n v="412.58333333333331"/>
    <n v="1168.7484950481871"/>
    <n v="2.8327574107409101"/>
    <s v="Low Risk"/>
    <s v="&lt;5k"/>
    <x v="0"/>
    <n v="0"/>
    <x v="1"/>
  </r>
  <r>
    <x v="220"/>
    <s v="Male"/>
    <s v="Yes"/>
    <n v="0"/>
    <s v="Graduate"/>
    <s v="No"/>
    <n v="2740"/>
    <n v="1541"/>
    <n v="101"/>
    <n v="360"/>
    <n v="1"/>
    <s v="Urban"/>
    <n v="4281"/>
    <n v="356.75"/>
    <n v="776.60261842017701"/>
    <n v="2.176881901668331"/>
    <s v="Low Risk"/>
    <s v="&lt;5k"/>
    <x v="0"/>
    <n v="0"/>
    <x v="0"/>
  </r>
  <r>
    <x v="221"/>
    <s v="Male"/>
    <s v="No"/>
    <n v="0"/>
    <s v="Graduate"/>
    <s v="No"/>
    <n v="3150"/>
    <n v="0"/>
    <n v="176"/>
    <n v="360"/>
    <n v="0"/>
    <s v="Semiurban"/>
    <n v="3150"/>
    <n v="262.5"/>
    <n v="1353.2877311084274"/>
    <n v="5.1553818327940091"/>
    <s v="High Risk"/>
    <s v="&lt;5k"/>
    <x v="0"/>
    <n v="1"/>
    <x v="1"/>
  </r>
  <r>
    <x v="222"/>
    <s v="Female"/>
    <s v="No"/>
    <n v="0"/>
    <s v="Graduate"/>
    <s v="No"/>
    <n v="3644"/>
    <n v="0"/>
    <n v="110"/>
    <n v="360"/>
    <n v="1"/>
    <s v="Urban"/>
    <n v="3644"/>
    <n v="303.66666666666669"/>
    <n v="845.80483194276701"/>
    <n v="2.7853068011287605"/>
    <s v="Low Risk"/>
    <s v="&lt;5k"/>
    <x v="0"/>
    <n v="0"/>
    <x v="0"/>
  </r>
  <r>
    <x v="223"/>
    <s v="Male"/>
    <s v="Yes"/>
    <n v="0"/>
    <s v="Not Graduate"/>
    <s v="No"/>
    <n v="1750"/>
    <n v="2024"/>
    <n v="90"/>
    <n v="360"/>
    <n v="1"/>
    <s v="Semiurban"/>
    <n v="3774"/>
    <n v="314.5"/>
    <n v="692.02213522590023"/>
    <n v="2.2003883473001595"/>
    <s v="Low Risk"/>
    <s v="&lt;5k"/>
    <x v="2"/>
    <n v="0"/>
    <x v="1"/>
  </r>
  <r>
    <x v="224"/>
    <s v="Female"/>
    <s v="No"/>
    <n v="0"/>
    <s v="Graduate"/>
    <s v="No"/>
    <n v="3666"/>
    <n v="0"/>
    <n v="84"/>
    <n v="360"/>
    <n v="1"/>
    <s v="Urban"/>
    <n v="3666"/>
    <n v="305.5"/>
    <n v="645.88732621084023"/>
    <n v="2.114197467138593"/>
    <s v="Low Risk"/>
    <s v="&lt;5k"/>
    <x v="2"/>
    <n v="0"/>
    <x v="0"/>
  </r>
  <r>
    <x v="225"/>
    <s v="Male"/>
    <s v="No"/>
    <n v="0"/>
    <s v="Not Graduate"/>
    <s v="No"/>
    <n v="2356"/>
    <n v="1902"/>
    <n v="108"/>
    <n v="360"/>
    <n v="1"/>
    <s v="Semiurban"/>
    <n v="4258"/>
    <n v="354.83333333333331"/>
    <n v="830.42656227108023"/>
    <n v="2.3403284986502966"/>
    <s v="Low Risk"/>
    <s v="&lt;5k"/>
    <x v="0"/>
    <n v="0"/>
    <x v="1"/>
  </r>
  <r>
    <x v="226"/>
    <s v="Male"/>
    <s v="Yes"/>
    <n v="1"/>
    <s v="Graduate"/>
    <s v="No"/>
    <n v="2419"/>
    <n v="1707"/>
    <n v="124"/>
    <n v="360"/>
    <n v="1"/>
    <s v="Urban"/>
    <n v="4126"/>
    <n v="343.83333333333331"/>
    <n v="953.45271964457379"/>
    <n v="2.7730083945067587"/>
    <s v="Low Risk"/>
    <s v="&lt;5k"/>
    <x v="0"/>
    <n v="0"/>
    <x v="0"/>
  </r>
  <r>
    <x v="227"/>
    <s v="Male"/>
    <s v="Yes"/>
    <n v="3"/>
    <s v="Not Graduate"/>
    <s v="No"/>
    <n v="3500"/>
    <n v="833"/>
    <n v="120"/>
    <n v="360"/>
    <n v="1"/>
    <s v="Semiurban"/>
    <n v="4333"/>
    <n v="361.08333333333331"/>
    <n v="922.69618030120034"/>
    <n v="2.5553552189278572"/>
    <s v="Low Risk"/>
    <s v="&lt;5k"/>
    <x v="0"/>
    <n v="0"/>
    <x v="1"/>
  </r>
  <r>
    <x v="228"/>
    <s v="Male"/>
    <s v="No"/>
    <n v="0"/>
    <s v="Graduate"/>
    <s v="No"/>
    <n v="2750"/>
    <n v="0"/>
    <n v="130"/>
    <n v="360"/>
    <n v="0"/>
    <s v="Urban"/>
    <n v="2750"/>
    <n v="229.16666666666666"/>
    <n v="999.58752865963379"/>
    <n v="4.3618364886965839"/>
    <s v="High Risk"/>
    <s v="&lt;5k"/>
    <x v="0"/>
    <n v="1"/>
    <x v="0"/>
  </r>
  <r>
    <x v="229"/>
    <s v="Female"/>
    <s v="No"/>
    <n v="0"/>
    <s v="Not Graduate"/>
    <s v="No"/>
    <n v="4402"/>
    <n v="0"/>
    <n v="130"/>
    <n v="360"/>
    <n v="1"/>
    <s v="Rural"/>
    <n v="4402"/>
    <n v="366.83333333333331"/>
    <n v="999.58752865963379"/>
    <n v="2.7249092103397561"/>
    <s v="Low Risk"/>
    <s v="&lt;5k"/>
    <x v="0"/>
    <n v="0"/>
    <x v="2"/>
  </r>
  <r>
    <x v="230"/>
    <s v="Male"/>
    <s v="Yes"/>
    <n v="3"/>
    <s v="Graduate"/>
    <s v="No"/>
    <n v="4720"/>
    <n v="0"/>
    <n v="90"/>
    <n v="180"/>
    <n v="1"/>
    <s v="Semiurban"/>
    <n v="4720"/>
    <n v="393.33333333333331"/>
    <n v="886.26560213303389"/>
    <n v="2.2532176325416118"/>
    <s v="Low Risk"/>
    <s v="&lt;5k"/>
    <x v="2"/>
    <n v="0"/>
    <x v="1"/>
  </r>
  <r>
    <x v="231"/>
    <s v="Male"/>
    <s v="Yes"/>
    <n v="0"/>
    <s v="Not Graduate"/>
    <s v="No"/>
    <n v="2415"/>
    <n v="1721"/>
    <n v="110"/>
    <n v="360"/>
    <n v="1"/>
    <s v="Semiurban"/>
    <n v="4136"/>
    <n v="344.66666666666669"/>
    <n v="845.80483194276701"/>
    <n v="2.4539792029287244"/>
    <s v="Low Risk"/>
    <s v="&lt;5k"/>
    <x v="0"/>
    <n v="0"/>
    <x v="1"/>
  </r>
  <r>
    <x v="232"/>
    <s v="Female"/>
    <s v="No"/>
    <n v="2"/>
    <s v="Graduate"/>
    <s v="No"/>
    <n v="4968"/>
    <n v="0"/>
    <n v="189"/>
    <n v="360"/>
    <n v="1"/>
    <s v="Semiurban"/>
    <n v="4968"/>
    <n v="414"/>
    <n v="1453.2464839743907"/>
    <n v="3.5102572076676104"/>
    <s v="Low Risk"/>
    <s v="&lt;5k"/>
    <x v="0"/>
    <n v="0"/>
    <x v="1"/>
  </r>
  <r>
    <x v="233"/>
    <s v="Female"/>
    <s v="No"/>
    <n v="0"/>
    <s v="Graduate"/>
    <s v="No"/>
    <n v="2101"/>
    <n v="1500"/>
    <n v="108"/>
    <n v="360"/>
    <n v="0"/>
    <s v="Rural"/>
    <n v="3601"/>
    <n v="300.08333333333331"/>
    <n v="830.42656227108023"/>
    <n v="2.7673198409477822"/>
    <s v="High Risk"/>
    <s v="&lt;5k"/>
    <x v="0"/>
    <n v="1"/>
    <x v="2"/>
  </r>
  <r>
    <x v="234"/>
    <s v="Male"/>
    <s v="Yes"/>
    <n v="3"/>
    <s v="Not Graduate"/>
    <s v="No"/>
    <n v="4490"/>
    <n v="0"/>
    <n v="125"/>
    <n v="360"/>
    <n v="1"/>
    <s v="Urban"/>
    <n v="4490"/>
    <n v="374.16666666666669"/>
    <n v="961.14185448041712"/>
    <n v="2.5687532859164821"/>
    <s v="Low Risk"/>
    <s v="&lt;5k"/>
    <x v="0"/>
    <n v="0"/>
    <x v="0"/>
  </r>
  <r>
    <x v="235"/>
    <s v="Male"/>
    <s v="Yes"/>
    <n v="0"/>
    <s v="Not Graduate"/>
    <s v="No"/>
    <n v="4700"/>
    <n v="0"/>
    <n v="135"/>
    <n v="360"/>
    <n v="0"/>
    <s v="Semiurban"/>
    <n v="4700"/>
    <n v="391.66666666666669"/>
    <n v="1038.0332028388502"/>
    <n v="2.6502975391630219"/>
    <s v="High Risk"/>
    <s v="&lt;5k"/>
    <x v="0"/>
    <n v="1"/>
    <x v="1"/>
  </r>
  <r>
    <x v="236"/>
    <s v="Male"/>
    <s v="Yes"/>
    <n v="0"/>
    <s v="Graduate"/>
    <s v="No"/>
    <n v="3445"/>
    <n v="0"/>
    <n v="130"/>
    <n v="360"/>
    <n v="0"/>
    <s v="Semiurban"/>
    <n v="3445"/>
    <n v="287.08333333333331"/>
    <n v="999.58752865963379"/>
    <n v="3.4818723784950962"/>
    <s v="High Risk"/>
    <s v="&lt;5k"/>
    <x v="0"/>
    <n v="1"/>
    <x v="1"/>
  </r>
  <r>
    <x v="237"/>
    <s v="Female"/>
    <s v="No"/>
    <n v="0"/>
    <s v="Graduate"/>
    <s v="No"/>
    <n v="3250"/>
    <n v="0"/>
    <n v="95"/>
    <n v="360"/>
    <n v="1"/>
    <s v="Semiurban"/>
    <n v="3250"/>
    <n v="270.83333333333331"/>
    <n v="730.46780940511701"/>
    <n v="2.6971119116496629"/>
    <s v="Low Risk"/>
    <s v="&lt;5k"/>
    <x v="2"/>
    <n v="0"/>
    <x v="1"/>
  </r>
  <r>
    <x v="238"/>
    <s v="Male"/>
    <s v="No"/>
    <n v="0"/>
    <s v="Graduate"/>
    <s v="No"/>
    <n v="4463"/>
    <n v="0"/>
    <n v="65"/>
    <n v="360"/>
    <n v="1"/>
    <s v="Semiurban"/>
    <n v="4463"/>
    <n v="371.91666666666669"/>
    <n v="499.7937643298169"/>
    <n v="1.3438326623252974"/>
    <s v="Low Risk"/>
    <s v="&lt;5k"/>
    <x v="2"/>
    <n v="0"/>
    <x v="1"/>
  </r>
  <r>
    <x v="239"/>
    <s v="Male"/>
    <s v="Yes"/>
    <n v="3"/>
    <s v="Graduate"/>
    <s v="No"/>
    <n v="3829"/>
    <n v="1103"/>
    <n v="163"/>
    <n v="360"/>
    <n v="0"/>
    <s v="Urban"/>
    <n v="4932"/>
    <n v="411"/>
    <n v="1253.3289782424638"/>
    <n v="3.0494622341665787"/>
    <s v="High Risk"/>
    <s v="&lt;5k"/>
    <x v="0"/>
    <n v="1"/>
    <x v="0"/>
  </r>
  <r>
    <x v="240"/>
    <s v="Male"/>
    <s v="Yes"/>
    <n v="2"/>
    <s v="Not Graduate"/>
    <s v="No"/>
    <n v="4136"/>
    <n v="0"/>
    <n v="149"/>
    <n v="480"/>
    <n v="0"/>
    <s v="Rural"/>
    <n v="4136"/>
    <n v="344.66666666666669"/>
    <n v="1092.3101617502396"/>
    <n v="3.1691784190045635"/>
    <s v="High Risk"/>
    <s v="&lt;5k"/>
    <x v="0"/>
    <n v="1"/>
    <x v="2"/>
  </r>
  <r>
    <x v="241"/>
    <s v="Male"/>
    <s v="Yes"/>
    <n v="0"/>
    <s v="Graduate"/>
    <s v="No"/>
    <n v="4456"/>
    <n v="0"/>
    <n v="131"/>
    <n v="180"/>
    <n v="0"/>
    <s v="Semiurban"/>
    <n v="4456"/>
    <n v="371.33333333333331"/>
    <n v="1290.0088208825271"/>
    <n v="3.4739914386423529"/>
    <s v="High Risk"/>
    <s v="&lt;5k"/>
    <x v="0"/>
    <n v="1"/>
    <x v="1"/>
  </r>
  <r>
    <x v="242"/>
    <s v="Male"/>
    <s v="No"/>
    <n v="0"/>
    <s v="Graduate"/>
    <s v="No"/>
    <n v="3066"/>
    <n v="0"/>
    <n v="95"/>
    <n v="360"/>
    <n v="1"/>
    <s v="Semiurban"/>
    <n v="3066"/>
    <n v="255.5"/>
    <n v="730.46780940511701"/>
    <n v="2.8589738137186576"/>
    <s v="Low Risk"/>
    <s v="&lt;5k"/>
    <x v="2"/>
    <n v="0"/>
    <x v="1"/>
  </r>
  <r>
    <x v="243"/>
    <s v="Male"/>
    <s v="No"/>
    <n v="0"/>
    <s v="Graduate"/>
    <s v="No"/>
    <n v="4452"/>
    <n v="0"/>
    <n v="131"/>
    <n v="360"/>
    <n v="1"/>
    <s v="Rural"/>
    <n v="4452"/>
    <n v="371"/>
    <n v="1007.2766634954771"/>
    <n v="2.7150314379931997"/>
    <s v="Low Risk"/>
    <s v="&lt;5k"/>
    <x v="0"/>
    <n v="0"/>
    <x v="2"/>
  </r>
  <r>
    <x v="244"/>
    <s v="Female"/>
    <s v="Yes"/>
    <n v="0"/>
    <s v="Graduate"/>
    <s v="No"/>
    <n v="2262"/>
    <n v="0"/>
    <n v="125"/>
    <n v="480"/>
    <n v="0"/>
    <s v="Semiurban"/>
    <n v="2262"/>
    <n v="188.5"/>
    <n v="916.3675853609393"/>
    <n v="4.8613665005885371"/>
    <s v="High Risk"/>
    <s v="&lt;5k"/>
    <x v="0"/>
    <n v="1"/>
    <x v="1"/>
  </r>
  <r>
    <x v="245"/>
    <s v="Male"/>
    <s v="Yes"/>
    <n v="1"/>
    <s v="Graduate"/>
    <s v="No"/>
    <n v="3901"/>
    <n v="0"/>
    <n v="116"/>
    <n v="360"/>
    <n v="1"/>
    <s v="Urban"/>
    <n v="3901"/>
    <n v="325.08333333333331"/>
    <n v="891.93964095782701"/>
    <n v="2.7437261449612729"/>
    <s v="Low Risk"/>
    <s v="&lt;5k"/>
    <x v="0"/>
    <n v="0"/>
    <x v="0"/>
  </r>
  <r>
    <x v="246"/>
    <s v="Male"/>
    <s v="Yes"/>
    <n v="2"/>
    <s v="Not Graduate"/>
    <s v="No"/>
    <n v="2687"/>
    <n v="0"/>
    <n v="50"/>
    <n v="180"/>
    <n v="1"/>
    <s v="Rural"/>
    <n v="2687"/>
    <n v="223.91666666666666"/>
    <n v="492.3697789627966"/>
    <n v="2.1988974125618013"/>
    <s v="Low Risk"/>
    <s v="&lt;5k"/>
    <x v="2"/>
    <n v="0"/>
    <x v="2"/>
  </r>
  <r>
    <x v="247"/>
    <s v="Male"/>
    <s v="No"/>
    <n v="0"/>
    <s v="Graduate"/>
    <s v="No"/>
    <n v="2243"/>
    <n v="2233"/>
    <n v="107"/>
    <n v="360"/>
    <n v="0"/>
    <s v="Semiurban"/>
    <n v="4476"/>
    <n v="373"/>
    <n v="822.73742743523701"/>
    <n v="2.2057303684590805"/>
    <s v="High Risk"/>
    <s v="&lt;5k"/>
    <x v="0"/>
    <n v="1"/>
    <x v="1"/>
  </r>
  <r>
    <x v="248"/>
    <s v="Female"/>
    <s v="Yes"/>
    <n v="0"/>
    <s v="Graduate"/>
    <s v="No"/>
    <n v="3417"/>
    <n v="1287"/>
    <n v="200"/>
    <n v="360"/>
    <n v="1"/>
    <s v="Semiurban"/>
    <n v="4704"/>
    <n v="392"/>
    <n v="1537.8269671686674"/>
    <n v="3.9230279774710901"/>
    <s v="Low Risk"/>
    <s v="&lt;5k"/>
    <x v="1"/>
    <n v="0"/>
    <x v="1"/>
  </r>
  <r>
    <x v="249"/>
    <s v="Male"/>
    <s v="No"/>
    <n v="0"/>
    <s v="Graduate"/>
    <s v="No"/>
    <n v="1596"/>
    <n v="1760"/>
    <n v="119"/>
    <n v="360"/>
    <n v="0"/>
    <s v="Urban"/>
    <n v="3356"/>
    <n v="279.66666666666669"/>
    <n v="915.00704546535701"/>
    <n v="3.2717772781836363"/>
    <s v="High Risk"/>
    <s v="&lt;5k"/>
    <x v="0"/>
    <n v="1"/>
    <x v="0"/>
  </r>
  <r>
    <x v="250"/>
    <s v="Male"/>
    <s v="Yes"/>
    <n v="3"/>
    <s v="Graduate"/>
    <s v="No"/>
    <n v="4513"/>
    <n v="0"/>
    <n v="120"/>
    <n v="360"/>
    <n v="1"/>
    <s v="Rural"/>
    <n v="4513"/>
    <n v="376.08333333333331"/>
    <n v="922.69618030120034"/>
    <n v="2.4534354450729903"/>
    <s v="Low Risk"/>
    <s v="&lt;5k"/>
    <x v="0"/>
    <n v="0"/>
    <x v="2"/>
  </r>
  <r>
    <x v="251"/>
    <s v="Male"/>
    <s v="Yes"/>
    <n v="0"/>
    <s v="Graduate"/>
    <s v="No"/>
    <n v="4500"/>
    <n v="0"/>
    <n v="140"/>
    <n v="360"/>
    <n v="1"/>
    <s v="Semiurban"/>
    <n v="4500"/>
    <n v="375"/>
    <n v="1076.4788770180671"/>
    <n v="2.8706103387148456"/>
    <s v="Low Risk"/>
    <s v="&lt;5k"/>
    <x v="0"/>
    <n v="0"/>
    <x v="1"/>
  </r>
  <r>
    <x v="252"/>
    <s v="Female"/>
    <s v="No"/>
    <n v="0"/>
    <s v="Graduate"/>
    <s v="Yes"/>
    <n v="4742"/>
    <n v="0"/>
    <n v="108"/>
    <n v="360"/>
    <n v="1"/>
    <s v="Semiurban"/>
    <n v="4742"/>
    <n v="395.16666666666669"/>
    <n v="830.42656227108023"/>
    <n v="2.101459035692316"/>
    <s v="Low Risk"/>
    <s v="&lt;5k"/>
    <x v="0"/>
    <n v="0"/>
    <x v="1"/>
  </r>
  <r>
    <x v="253"/>
    <s v="Male"/>
    <s v="Yes"/>
    <n v="0"/>
    <s v="Graduate"/>
    <s v="No"/>
    <n v="4082"/>
    <n v="0"/>
    <n v="93"/>
    <n v="360"/>
    <n v="1"/>
    <s v="Semiurban"/>
    <n v="4082"/>
    <n v="340.16666666666669"/>
    <n v="715.08953973343023"/>
    <n v="2.1021740511516813"/>
    <s v="Low Risk"/>
    <s v="&lt;5k"/>
    <x v="2"/>
    <n v="0"/>
    <x v="1"/>
  </r>
  <r>
    <x v="254"/>
    <s v="Female"/>
    <s v="No"/>
    <n v="0"/>
    <s v="Graduate"/>
    <s v="No"/>
    <n v="3417"/>
    <n v="0"/>
    <n v="102"/>
    <n v="360"/>
    <n v="1"/>
    <s v="Urban"/>
    <n v="3417"/>
    <n v="284.75"/>
    <n v="784.29175325602023"/>
    <n v="2.7543169561229859"/>
    <s v="Low Risk"/>
    <s v="&lt;5k"/>
    <x v="0"/>
    <n v="0"/>
    <x v="0"/>
  </r>
  <r>
    <x v="255"/>
    <s v="Female"/>
    <s v="No"/>
    <n v="0"/>
    <s v="Not Graduate"/>
    <s v="No"/>
    <n v="0"/>
    <n v="1760"/>
    <n v="180"/>
    <n v="360"/>
    <n v="1"/>
    <s v="Semiurban"/>
    <n v="1760"/>
    <n v="146.66666666666666"/>
    <n v="1384.0442704518005"/>
    <n v="9.4366654803531862"/>
    <s v="Low Risk"/>
    <s v="&lt;5k"/>
    <x v="0"/>
    <n v="0"/>
    <x v="1"/>
  </r>
  <r>
    <x v="256"/>
    <s v="Male"/>
    <s v="Yes"/>
    <n v="1"/>
    <s v="Graduate"/>
    <s v="No"/>
    <n v="1516"/>
    <n v="2900"/>
    <n v="80"/>
    <n v="360"/>
    <n v="0"/>
    <s v="Rural"/>
    <n v="4416"/>
    <n v="368"/>
    <n v="615.1307868674669"/>
    <n v="1.6715510512702905"/>
    <s v="High Risk"/>
    <s v="&lt;5k"/>
    <x v="2"/>
    <n v="1"/>
    <x v="2"/>
  </r>
  <r>
    <x v="257"/>
    <s v="Female"/>
    <s v="No"/>
    <n v="0"/>
    <s v="Graduate"/>
    <s v="No"/>
    <n v="1762"/>
    <n v="2666"/>
    <n v="104"/>
    <n v="360"/>
    <n v="0"/>
    <s v="Urban"/>
    <n v="4428"/>
    <n v="369"/>
    <n v="799.67002292770701"/>
    <n v="2.1671274334084201"/>
    <s v="High Risk"/>
    <s v="&lt;5k"/>
    <x v="0"/>
    <n v="1"/>
    <x v="0"/>
  </r>
  <r>
    <x v="258"/>
    <s v="Male"/>
    <s v="Yes"/>
    <n v="2"/>
    <s v="Graduate"/>
    <s v="No"/>
    <n v="724"/>
    <n v="3510"/>
    <n v="213"/>
    <n v="360"/>
    <n v="0"/>
    <s v="Rural"/>
    <n v="4234"/>
    <n v="352.83333333333331"/>
    <n v="1637.7857200346307"/>
    <n v="4.6418112046328694"/>
    <s v="High Risk"/>
    <s v="&lt;5k"/>
    <x v="1"/>
    <n v="1"/>
    <x v="2"/>
  </r>
  <r>
    <x v="259"/>
    <s v="Male"/>
    <s v="No"/>
    <n v="0"/>
    <s v="Graduate"/>
    <s v="No"/>
    <n v="3125"/>
    <n v="0"/>
    <n v="65"/>
    <n v="360"/>
    <n v="1"/>
    <s v="Urban"/>
    <n v="3125"/>
    <n v="260.41666666666669"/>
    <n v="499.7937643298169"/>
    <n v="1.9192080550264967"/>
    <s v="Low Risk"/>
    <s v="&lt;5k"/>
    <x v="2"/>
    <n v="0"/>
    <x v="0"/>
  </r>
  <r>
    <x v="260"/>
    <s v="Male"/>
    <s v="Yes"/>
    <n v="3"/>
    <s v="Graduate"/>
    <s v="No"/>
    <n v="3350"/>
    <n v="1560"/>
    <n v="135"/>
    <n v="360"/>
    <n v="1"/>
    <s v="Urban"/>
    <n v="4910"/>
    <n v="409.16666666666669"/>
    <n v="1038.0332028388502"/>
    <n v="2.5369446912558455"/>
    <s v="Low Risk"/>
    <s v="&lt;5k"/>
    <x v="0"/>
    <n v="0"/>
    <x v="0"/>
  </r>
  <r>
    <x v="261"/>
    <s v="Male"/>
    <s v="No"/>
    <n v="0"/>
    <s v="Graduate"/>
    <s v="No"/>
    <n v="4667"/>
    <n v="0"/>
    <n v="120"/>
    <n v="360"/>
    <n v="1"/>
    <s v="Semiurban"/>
    <n v="4667"/>
    <n v="388.91666666666669"/>
    <n v="922.69618030120034"/>
    <n v="2.3724778580703672"/>
    <s v="Low Risk"/>
    <s v="&lt;5k"/>
    <x v="0"/>
    <n v="0"/>
    <x v="1"/>
  </r>
  <r>
    <x v="262"/>
    <s v="Male"/>
    <s v="No"/>
    <n v="0"/>
    <s v="Graduate"/>
    <s v="No"/>
    <n v="3073"/>
    <n v="0"/>
    <n v="70"/>
    <n v="180"/>
    <n v="1"/>
    <s v="Urban"/>
    <n v="3073"/>
    <n v="256.08333333333331"/>
    <n v="689.31769054791528"/>
    <n v="2.6917710011633531"/>
    <s v="Low Risk"/>
    <s v="&lt;5k"/>
    <x v="2"/>
    <n v="0"/>
    <x v="0"/>
  </r>
  <r>
    <x v="263"/>
    <s v="Male"/>
    <s v="Yes"/>
    <n v="0"/>
    <s v="Graduate"/>
    <s v="No"/>
    <n v="3333"/>
    <n v="1270"/>
    <n v="124"/>
    <n v="360"/>
    <n v="1"/>
    <s v="Urban"/>
    <n v="4603"/>
    <n v="383.58333333333331"/>
    <n v="953.45271964457379"/>
    <n v="2.485646890231346"/>
    <s v="Low Risk"/>
    <s v="&lt;5k"/>
    <x v="0"/>
    <n v="0"/>
    <x v="0"/>
  </r>
  <r>
    <x v="264"/>
    <s v="Male"/>
    <s v="No"/>
    <n v="0"/>
    <s v="Graduate"/>
    <s v="No"/>
    <n v="3391"/>
    <n v="0"/>
    <n v="132"/>
    <n v="360"/>
    <n v="1"/>
    <s v="Rural"/>
    <n v="3391"/>
    <n v="282.58333333333331"/>
    <n v="1014.9657983313205"/>
    <n v="3.5917397758701997"/>
    <s v="Low Risk"/>
    <s v="&lt;5k"/>
    <x v="0"/>
    <n v="0"/>
    <x v="2"/>
  </r>
  <r>
    <x v="265"/>
    <s v="Male"/>
    <s v="Yes"/>
    <n v="1"/>
    <s v="Graduate"/>
    <s v="Yes"/>
    <n v="3343"/>
    <n v="1517"/>
    <n v="105"/>
    <n v="360"/>
    <n v="1"/>
    <s v="Rural"/>
    <n v="4860"/>
    <n v="405"/>
    <n v="807.35915776355023"/>
    <n v="1.9934794018853093"/>
    <s v="Low Risk"/>
    <s v="&lt;5k"/>
    <x v="0"/>
    <n v="0"/>
    <x v="2"/>
  </r>
  <r>
    <x v="266"/>
    <s v="Female"/>
    <s v="No"/>
    <n v="1"/>
    <s v="Graduate"/>
    <s v="No"/>
    <n v="3620"/>
    <n v="0"/>
    <n v="90"/>
    <n v="360"/>
    <n v="1"/>
    <s v="Urban"/>
    <n v="3620"/>
    <n v="301.66666666666669"/>
    <n v="692.02213522590023"/>
    <n v="2.29399602837315"/>
    <s v="Low Risk"/>
    <s v="&lt;5k"/>
    <x v="2"/>
    <n v="0"/>
    <x v="0"/>
  </r>
  <r>
    <x v="267"/>
    <s v="Male"/>
    <s v="No"/>
    <n v="0"/>
    <s v="Graduate"/>
    <s v="No"/>
    <n v="4000"/>
    <n v="0"/>
    <n v="83"/>
    <n v="84"/>
    <n v="1"/>
    <s v="Urban"/>
    <n v="4000"/>
    <n v="333.33333333333331"/>
    <n v="1314.4282912826777"/>
    <n v="3.9432848738480333"/>
    <s v="Low Risk"/>
    <s v="&lt;5k"/>
    <x v="2"/>
    <n v="0"/>
    <x v="0"/>
  </r>
  <r>
    <x v="268"/>
    <s v="Male"/>
    <s v="Yes"/>
    <n v="0"/>
    <s v="Graduate"/>
    <s v="No"/>
    <n v="4258"/>
    <n v="0"/>
    <n v="125"/>
    <n v="360"/>
    <n v="1"/>
    <s v="Urban"/>
    <n v="4258"/>
    <n v="354.83333333333331"/>
    <n v="961.14185448041712"/>
    <n v="2.7087135401045104"/>
    <s v="Low Risk"/>
    <s v="&lt;5k"/>
    <x v="0"/>
    <n v="0"/>
    <x v="0"/>
  </r>
  <r>
    <x v="269"/>
    <s v="Male"/>
    <s v="Yes"/>
    <n v="2"/>
    <s v="Graduate"/>
    <s v="No"/>
    <n v="4500"/>
    <n v="0"/>
    <n v="147"/>
    <n v="360"/>
    <n v="1"/>
    <s v="Rural"/>
    <n v="4500"/>
    <n v="375"/>
    <n v="1130.3028208689702"/>
    <n v="3.0141408556505871"/>
    <s v="Low Risk"/>
    <s v="&lt;5k"/>
    <x v="0"/>
    <n v="0"/>
    <x v="2"/>
  </r>
  <r>
    <x v="270"/>
    <s v="Male"/>
    <s v="Yes"/>
    <n v="1"/>
    <s v="Graduate"/>
    <s v="No"/>
    <n v="2014"/>
    <n v="2925"/>
    <n v="120"/>
    <n v="360"/>
    <n v="1"/>
    <s v="Rural"/>
    <n v="4939"/>
    <n v="411.58333333333331"/>
    <n v="922.69618030120034"/>
    <n v="2.2418210495271116"/>
    <s v="Low Risk"/>
    <s v="&lt;5k"/>
    <x v="0"/>
    <n v="0"/>
    <x v="2"/>
  </r>
  <r>
    <x v="271"/>
    <s v="Male"/>
    <s v="No"/>
    <n v="0"/>
    <s v="Graduate"/>
    <s v="No"/>
    <n v="3333"/>
    <n v="1250"/>
    <n v="110"/>
    <n v="360"/>
    <n v="1"/>
    <s v="Semiurban"/>
    <n v="4583"/>
    <n v="381.91666666666669"/>
    <n v="845.80483194276701"/>
    <n v="2.2146318968608343"/>
    <s v="Low Risk"/>
    <s v="&lt;5k"/>
    <x v="0"/>
    <n v="0"/>
    <x v="1"/>
  </r>
  <r>
    <x v="272"/>
    <s v="Female"/>
    <s v="No"/>
    <n v="3"/>
    <s v="Graduate"/>
    <s v="No"/>
    <n v="4083"/>
    <n v="0"/>
    <n v="103"/>
    <n v="360"/>
    <n v="0"/>
    <s v="Semiurban"/>
    <n v="4083"/>
    <n v="340.25"/>
    <n v="791.98088809186368"/>
    <n v="2.3276440502332512"/>
    <s v="High Risk"/>
    <s v="&lt;5k"/>
    <x v="0"/>
    <n v="1"/>
    <x v="1"/>
  </r>
  <r>
    <x v="273"/>
    <s v="Male"/>
    <s v="No"/>
    <n v="0"/>
    <s v="Graduate"/>
    <s v="No"/>
    <n v="4727"/>
    <n v="0"/>
    <n v="150"/>
    <n v="360"/>
    <n v="0"/>
    <s v="Rural"/>
    <n v="4727"/>
    <n v="393.91666666666669"/>
    <n v="1153.3702253765005"/>
    <n v="2.9279548771986472"/>
    <s v="High Risk"/>
    <s v="&lt;5k"/>
    <x v="0"/>
    <n v="1"/>
    <x v="2"/>
  </r>
  <r>
    <x v="274"/>
    <s v="Male"/>
    <s v="No"/>
    <n v="0"/>
    <s v="Not Graduate"/>
    <s v="No"/>
    <n v="3276"/>
    <n v="0"/>
    <n v="90"/>
    <n v="360"/>
    <n v="1"/>
    <s v="Semiurban"/>
    <n v="3276"/>
    <n v="273"/>
    <n v="692.02213522590023"/>
    <n v="2.5348796162120886"/>
    <s v="Low Risk"/>
    <s v="&lt;5k"/>
    <x v="2"/>
    <n v="0"/>
    <x v="1"/>
  </r>
  <r>
    <x v="275"/>
    <s v="Male"/>
    <s v="Yes"/>
    <n v="0"/>
    <s v="Graduate"/>
    <s v="No"/>
    <n v="2783"/>
    <n v="1456"/>
    <n v="113"/>
    <n v="360"/>
    <n v="1"/>
    <s v="Urban"/>
    <n v="4239"/>
    <n v="353.25"/>
    <n v="868.87223645029701"/>
    <n v="2.4596524740277341"/>
    <s v="Low Risk"/>
    <s v="&lt;5k"/>
    <x v="0"/>
    <n v="0"/>
    <x v="0"/>
  </r>
  <r>
    <x v="276"/>
    <s v="Male"/>
    <s v="Yes"/>
    <n v="1"/>
    <s v="Not Graduate"/>
    <s v="No"/>
    <n v="2463"/>
    <n v="2360"/>
    <n v="117"/>
    <n v="360"/>
    <n v="0"/>
    <s v="Urban"/>
    <n v="4823"/>
    <n v="401.91666666666669"/>
    <n v="899.62877579367034"/>
    <n v="2.2383465290325613"/>
    <s v="High Risk"/>
    <s v="&lt;5k"/>
    <x v="0"/>
    <n v="1"/>
    <x v="0"/>
  </r>
  <r>
    <x v="277"/>
    <s v="Male"/>
    <s v="Yes"/>
    <n v="2"/>
    <s v="Graduate"/>
    <s v="No"/>
    <n v="4855"/>
    <n v="0"/>
    <n v="72"/>
    <n v="360"/>
    <n v="1"/>
    <s v="Rural"/>
    <n v="4855"/>
    <n v="404.58333333333331"/>
    <n v="553.61770818072023"/>
    <n v="1.3683650871614095"/>
    <s v="Low Risk"/>
    <s v="&lt;5k"/>
    <x v="2"/>
    <n v="0"/>
    <x v="2"/>
  </r>
  <r>
    <x v="278"/>
    <s v="Male"/>
    <s v="No"/>
    <n v="0"/>
    <s v="Not Graduate"/>
    <s v="Yes"/>
    <n v="1599"/>
    <n v="2474"/>
    <n v="125"/>
    <n v="300"/>
    <n v="1"/>
    <s v="Semiurban"/>
    <n v="4073"/>
    <n v="339.41666666666669"/>
    <n v="1006.5338543276641"/>
    <n v="2.9654815251490225"/>
    <s v="Low Risk"/>
    <s v="&lt;5k"/>
    <x v="0"/>
    <n v="0"/>
    <x v="1"/>
  </r>
  <r>
    <x v="279"/>
    <s v="Male"/>
    <s v="No"/>
    <n v="0"/>
    <s v="Graduate"/>
    <s v="No"/>
    <n v="2964"/>
    <n v="0"/>
    <n v="84"/>
    <n v="360"/>
    <n v="0"/>
    <s v="Semiurban"/>
    <n v="2964"/>
    <n v="247"/>
    <n v="645.88732621084023"/>
    <n v="2.6149284461977338"/>
    <s v="High Risk"/>
    <s v="&lt;5k"/>
    <x v="2"/>
    <n v="1"/>
    <x v="1"/>
  </r>
  <r>
    <x v="280"/>
    <s v="Female"/>
    <s v="No"/>
    <n v="0"/>
    <s v="Graduate"/>
    <s v="No"/>
    <n v="2708"/>
    <n v="0"/>
    <n v="65"/>
    <n v="360"/>
    <n v="1"/>
    <s v="Rural"/>
    <n v="2708"/>
    <n v="225.66666666666666"/>
    <n v="499.7937643298169"/>
    <n v="2.2147434165279924"/>
    <s v="Low Risk"/>
    <s v="&lt;5k"/>
    <x v="2"/>
    <n v="0"/>
    <x v="2"/>
  </r>
  <r>
    <x v="281"/>
    <s v="Male"/>
    <s v="No"/>
    <n v="0"/>
    <s v="Not Graduate"/>
    <s v="No"/>
    <n v="2268"/>
    <n v="0"/>
    <n v="170"/>
    <n v="360"/>
    <n v="0"/>
    <s v="Semiurban"/>
    <n v="2268"/>
    <n v="189"/>
    <n v="1307.1529220933671"/>
    <n v="6.9161530269490328"/>
    <s v="High Risk"/>
    <s v="&lt;5k"/>
    <x v="0"/>
    <n v="1"/>
    <x v="1"/>
  </r>
  <r>
    <x v="282"/>
    <s v="Male"/>
    <s v="No"/>
    <n v="2"/>
    <s v="Not Graduate"/>
    <s v="No"/>
    <n v="1141"/>
    <n v="2017"/>
    <n v="120"/>
    <n v="360"/>
    <n v="0"/>
    <s v="Urban"/>
    <n v="3158"/>
    <n v="263.16666666666669"/>
    <n v="922.69618030120034"/>
    <n v="3.5061286141907546"/>
    <s v="High Risk"/>
    <s v="&lt;5k"/>
    <x v="0"/>
    <n v="1"/>
    <x v="0"/>
  </r>
  <r>
    <x v="283"/>
    <s v="Female"/>
    <s v="Yes"/>
    <n v="3"/>
    <s v="Graduate"/>
    <s v="No"/>
    <n v="1750"/>
    <n v="2935"/>
    <n v="94"/>
    <n v="360"/>
    <n v="0"/>
    <s v="Semiurban"/>
    <n v="4685"/>
    <n v="390.41666666666669"/>
    <n v="722.77867456927368"/>
    <n v="1.8513007673065707"/>
    <s v="High Risk"/>
    <s v="&lt;5k"/>
    <x v="2"/>
    <n v="1"/>
    <x v="1"/>
  </r>
  <r>
    <x v="284"/>
    <s v="Female"/>
    <s v="Yes"/>
    <n v="1"/>
    <s v="Graduate"/>
    <s v="No"/>
    <n v="3564"/>
    <n v="0"/>
    <n v="79"/>
    <n v="360"/>
    <n v="1"/>
    <s v="Rural"/>
    <n v="3564"/>
    <n v="297"/>
    <n v="607.44165203162356"/>
    <n v="2.045258087648564"/>
    <s v="Low Risk"/>
    <s v="&lt;5k"/>
    <x v="2"/>
    <n v="0"/>
    <x v="2"/>
  </r>
  <r>
    <x v="285"/>
    <s v="Female"/>
    <s v="No"/>
    <n v="0"/>
    <s v="Graduate"/>
    <s v="No"/>
    <n v="3958"/>
    <n v="0"/>
    <n v="110"/>
    <n v="360"/>
    <n v="1"/>
    <s v="Rural"/>
    <n v="3958"/>
    <n v="329.83333333333331"/>
    <n v="845.80483194276701"/>
    <n v="2.564340066526833"/>
    <s v="Low Risk"/>
    <s v="&lt;5k"/>
    <x v="0"/>
    <n v="0"/>
    <x v="2"/>
  </r>
  <r>
    <x v="286"/>
    <s v="Male"/>
    <s v="Yes"/>
    <n v="2"/>
    <s v="Not Graduate"/>
    <s v="No"/>
    <n v="4483"/>
    <n v="0"/>
    <n v="130"/>
    <n v="360"/>
    <n v="1"/>
    <s v="Rural"/>
    <n v="4483"/>
    <n v="373.58333333333331"/>
    <n v="999.58752865963379"/>
    <n v="2.6756748480739696"/>
    <s v="Low Risk"/>
    <s v="&lt;5k"/>
    <x v="0"/>
    <n v="0"/>
    <x v="2"/>
  </r>
  <r>
    <x v="287"/>
    <s v="Male"/>
    <s v="Yes"/>
    <n v="0"/>
    <s v="Not Graduate"/>
    <s v="No"/>
    <n v="2431"/>
    <n v="1820"/>
    <n v="110"/>
    <n v="360"/>
    <n v="0"/>
    <s v="Rural"/>
    <n v="4251"/>
    <n v="354.25"/>
    <n v="845.80483194276701"/>
    <n v="2.3875930330071053"/>
    <s v="High Risk"/>
    <s v="&lt;5k"/>
    <x v="0"/>
    <n v="1"/>
    <x v="2"/>
  </r>
  <r>
    <x v="288"/>
    <s v="Female"/>
    <s v="No"/>
    <n v="0"/>
    <s v="Graduate"/>
    <s v="No"/>
    <n v="2918"/>
    <n v="0"/>
    <n v="65"/>
    <n v="360"/>
    <n v="0"/>
    <s v="Rural"/>
    <n v="2918"/>
    <n v="243.16666666666666"/>
    <n v="499.7937643298169"/>
    <n v="2.0553547539265944"/>
    <s v="High Risk"/>
    <s v="&lt;5k"/>
    <x v="2"/>
    <n v="1"/>
    <x v="2"/>
  </r>
  <r>
    <x v="289"/>
    <s v="Male"/>
    <s v="Yes"/>
    <n v="2"/>
    <s v="Graduate"/>
    <s v="No"/>
    <n v="4358"/>
    <n v="0"/>
    <n v="110"/>
    <n v="360"/>
    <n v="1"/>
    <s v="Urban"/>
    <n v="4358"/>
    <n v="363.16666666666669"/>
    <n v="845.80483194276701"/>
    <n v="2.3289715427519972"/>
    <s v="Low Risk"/>
    <s v="&lt;5k"/>
    <x v="0"/>
    <n v="0"/>
    <x v="0"/>
  </r>
  <r>
    <x v="290"/>
    <s v="Male"/>
    <s v="Yes"/>
    <n v="0"/>
    <s v="Not Graduate"/>
    <s v="No"/>
    <n v="4483"/>
    <n v="0"/>
    <n v="135"/>
    <n v="360"/>
    <n v="0"/>
    <s v="Semiurban"/>
    <n v="4483"/>
    <n v="373.58333333333331"/>
    <n v="1038.0332028388502"/>
    <n v="2.7785854191537371"/>
    <s v="High Risk"/>
    <s v="&lt;5k"/>
    <x v="0"/>
    <n v="1"/>
    <x v="1"/>
  </r>
  <r>
    <x v="291"/>
    <s v="Female"/>
    <s v="Yes"/>
    <n v="1"/>
    <s v="Graduate"/>
    <s v="No"/>
    <n v="4333"/>
    <n v="0"/>
    <n v="132"/>
    <n v="84"/>
    <n v="1"/>
    <s v="Rural"/>
    <n v="4333"/>
    <n v="361.08333333333331"/>
    <n v="2090.4160777025718"/>
    <n v="5.7892898528573422"/>
    <s v="Low Risk"/>
    <s v="&lt;5k"/>
    <x v="0"/>
    <n v="0"/>
    <x v="2"/>
  </r>
  <r>
    <x v="292"/>
    <s v="Male"/>
    <s v="No"/>
    <n v="0"/>
    <s v="Graduate"/>
    <s v="No"/>
    <n v="4083"/>
    <n v="0"/>
    <n v="96"/>
    <n v="360"/>
    <n v="1"/>
    <s v="Urban"/>
    <n v="4083"/>
    <n v="340.25"/>
    <n v="738.15694424096023"/>
    <n v="2.169454648761088"/>
    <s v="Low Risk"/>
    <s v="&lt;5k"/>
    <x v="2"/>
    <n v="0"/>
    <x v="0"/>
  </r>
  <r>
    <x v="293"/>
    <s v="Male"/>
    <s v="Yes"/>
    <n v="3"/>
    <s v="Not Graduate"/>
    <s v="No"/>
    <n v="2654"/>
    <n v="1998"/>
    <n v="128"/>
    <n v="360"/>
    <n v="0"/>
    <s v="Rural"/>
    <n v="4652"/>
    <n v="387.66666666666669"/>
    <n v="984.20925898794701"/>
    <n v="2.5388029036662432"/>
    <s v="High Risk"/>
    <s v="&lt;5k"/>
    <x v="0"/>
    <n v="1"/>
    <x v="2"/>
  </r>
  <r>
    <x v="294"/>
    <s v="Male"/>
    <s v="Yes"/>
    <n v="1"/>
    <s v="Graduate"/>
    <s v="No"/>
    <n v="4796"/>
    <n v="0"/>
    <n v="114"/>
    <n v="360"/>
    <n v="0"/>
    <s v="Semiurban"/>
    <n v="4796"/>
    <n v="399.66666666666669"/>
    <n v="876.56137128614034"/>
    <n v="2.1932311208160309"/>
    <s v="High Risk"/>
    <s v="&lt;5k"/>
    <x v="0"/>
    <n v="1"/>
    <x v="1"/>
  </r>
  <r>
    <x v="295"/>
    <s v="Male"/>
    <s v="Yes"/>
    <n v="0"/>
    <s v="Not Graduate"/>
    <s v="No"/>
    <n v="2000"/>
    <n v="1600"/>
    <n v="115"/>
    <n v="360"/>
    <n v="1"/>
    <s v="Rural"/>
    <n v="3600"/>
    <n v="300"/>
    <n v="884.25050612198368"/>
    <n v="2.9475016870732791"/>
    <s v="Low Risk"/>
    <s v="&lt;5k"/>
    <x v="0"/>
    <n v="0"/>
    <x v="2"/>
  </r>
  <r>
    <x v="296"/>
    <s v="Male"/>
    <s v="Yes"/>
    <n v="2"/>
    <s v="Graduate"/>
    <s v="No"/>
    <n v="2540"/>
    <n v="700"/>
    <n v="104"/>
    <n v="360"/>
    <n v="0"/>
    <s v="Urban"/>
    <n v="3240"/>
    <n v="270"/>
    <n v="799.67002292770701"/>
    <n v="2.9617408256581741"/>
    <s v="High Risk"/>
    <s v="&lt;5k"/>
    <x v="0"/>
    <n v="1"/>
    <x v="0"/>
  </r>
  <r>
    <x v="297"/>
    <s v="Male"/>
    <s v="Yes"/>
    <n v="0"/>
    <s v="Graduate"/>
    <s v="Yes"/>
    <n v="1900"/>
    <n v="1442"/>
    <n v="88"/>
    <n v="360"/>
    <n v="1"/>
    <s v="Rural"/>
    <n v="3342"/>
    <n v="278.5"/>
    <n v="676.64386555421368"/>
    <n v="2.4296009535160277"/>
    <s v="Low Risk"/>
    <s v="&lt;5k"/>
    <x v="2"/>
    <n v="0"/>
    <x v="2"/>
  </r>
  <r>
    <x v="298"/>
    <s v="Male"/>
    <s v="Yes"/>
    <n v="3"/>
    <s v="Not Graduate"/>
    <s v="No"/>
    <n v="2855"/>
    <n v="542"/>
    <n v="90"/>
    <n v="360"/>
    <n v="1"/>
    <s v="Urban"/>
    <n v="3397"/>
    <n v="283.08333333333331"/>
    <n v="692.02213522590023"/>
    <n v="2.4445880549634391"/>
    <s v="Low Risk"/>
    <s v="&lt;5k"/>
    <x v="2"/>
    <n v="0"/>
    <x v="0"/>
  </r>
  <r>
    <x v="299"/>
    <s v="Male"/>
    <s v="Yes"/>
    <n v="0"/>
    <s v="Graduate"/>
    <s v="No"/>
    <n v="3016"/>
    <n v="1300"/>
    <n v="100"/>
    <n v="360"/>
    <n v="0"/>
    <s v="Urban"/>
    <n v="4316"/>
    <n v="359.66666666666669"/>
    <n v="768.91348358433368"/>
    <n v="2.1378502787330871"/>
    <s v="High Risk"/>
    <s v="&lt;5k"/>
    <x v="0"/>
    <n v="1"/>
    <x v="0"/>
  </r>
  <r>
    <x v="300"/>
    <s v="Female"/>
    <s v="No"/>
    <n v="0"/>
    <s v="Graduate"/>
    <s v="No"/>
    <n v="1937"/>
    <n v="1152"/>
    <n v="78"/>
    <n v="360"/>
    <n v="1"/>
    <s v="Semiurban"/>
    <n v="3089"/>
    <n v="257.41666666666669"/>
    <n v="599.75251719578023"/>
    <n v="2.3298899988181812"/>
    <s v="Low Risk"/>
    <s v="&lt;5k"/>
    <x v="2"/>
    <n v="0"/>
    <x v="1"/>
  </r>
  <r>
    <x v="301"/>
    <s v="Male"/>
    <s v="Yes"/>
    <n v="1"/>
    <s v="Graduate"/>
    <s v="No"/>
    <n v="3074"/>
    <n v="1083"/>
    <n v="146"/>
    <n v="360"/>
    <n v="1"/>
    <s v="Semiurban"/>
    <n v="4157"/>
    <n v="346.41666666666669"/>
    <n v="1122.6136860331271"/>
    <n v="3.240645713831495"/>
    <s v="Low Risk"/>
    <s v="&lt;5k"/>
    <x v="0"/>
    <n v="0"/>
    <x v="1"/>
  </r>
  <r>
    <x v="302"/>
    <s v="Female"/>
    <s v="No"/>
    <n v="0"/>
    <s v="Graduate"/>
    <s v="No"/>
    <n v="4213"/>
    <n v="0"/>
    <n v="80"/>
    <n v="360"/>
    <n v="1"/>
    <s v="Urban"/>
    <n v="4213"/>
    <n v="351.08333333333331"/>
    <n v="615.1307868674669"/>
    <n v="1.7520933877070028"/>
    <s v="Low Risk"/>
    <s v="&lt;5k"/>
    <x v="2"/>
    <n v="0"/>
    <x v="0"/>
  </r>
  <r>
    <x v="303"/>
    <s v="Female"/>
    <s v="No"/>
    <n v="0"/>
    <s v="Graduate"/>
    <s v="No"/>
    <n v="2362"/>
    <n v="0"/>
    <n v="55"/>
    <n v="360"/>
    <n v="1"/>
    <s v="Urban"/>
    <n v="2362"/>
    <n v="196.83333333333334"/>
    <n v="422.9024159713835"/>
    <n v="2.1485304791094841"/>
    <s v="Low Risk"/>
    <s v="&lt;5k"/>
    <x v="2"/>
    <n v="0"/>
    <x v="0"/>
  </r>
  <r>
    <x v="304"/>
    <s v="Male"/>
    <s v="Yes"/>
    <n v="0"/>
    <s v="Graduate"/>
    <s v="No"/>
    <n v="2166"/>
    <n v="2166"/>
    <n v="108"/>
    <n v="360"/>
    <n v="0"/>
    <s v="Urban"/>
    <n v="4332"/>
    <n v="361"/>
    <n v="830.42656227108023"/>
    <n v="2.3003505880085324"/>
    <s v="High Risk"/>
    <s v="&lt;5k"/>
    <x v="0"/>
    <n v="1"/>
    <x v="0"/>
  </r>
  <r>
    <x v="305"/>
    <s v="Male"/>
    <s v="Yes"/>
    <n v="2"/>
    <s v="Not Graduate"/>
    <s v="No"/>
    <n v="2896"/>
    <n v="0"/>
    <n v="80"/>
    <n v="480"/>
    <n v="1"/>
    <s v="Urban"/>
    <n v="2896"/>
    <n v="241.33333333333334"/>
    <n v="586.47525463100112"/>
    <n v="2.4301460827251429"/>
    <s v="Low Risk"/>
    <s v="&lt;5k"/>
    <x v="2"/>
    <n v="0"/>
    <x v="0"/>
  </r>
  <r>
    <x v="306"/>
    <s v="Female"/>
    <s v="No"/>
    <n v="0"/>
    <s v="Graduate"/>
    <s v="No"/>
    <n v="2545"/>
    <n v="0"/>
    <n v="74"/>
    <n v="360"/>
    <n v="1"/>
    <s v="Urban"/>
    <n v="2545"/>
    <n v="212.08333333333334"/>
    <n v="568.9959778524069"/>
    <n v="2.6828886971429795"/>
    <s v="Low Risk"/>
    <s v="&lt;5k"/>
    <x v="2"/>
    <n v="0"/>
    <x v="0"/>
  </r>
  <r>
    <x v="307"/>
    <s v="Male"/>
    <s v="Yes"/>
    <n v="0"/>
    <s v="Graduate"/>
    <s v="No"/>
    <n v="2553"/>
    <n v="1768"/>
    <n v="102"/>
    <n v="360"/>
    <n v="1"/>
    <s v="Urban"/>
    <n v="4321"/>
    <n v="360.08333333333331"/>
    <n v="784.29175325602023"/>
    <n v="2.1780840173738123"/>
    <s v="Low Risk"/>
    <s v="&lt;5k"/>
    <x v="0"/>
    <n v="0"/>
    <x v="0"/>
  </r>
  <r>
    <x v="308"/>
    <s v="Male"/>
    <s v="Yes"/>
    <n v="0"/>
    <s v="Graduate"/>
    <s v="No"/>
    <n v="1173"/>
    <n v="1594"/>
    <n v="28"/>
    <n v="180"/>
    <n v="1"/>
    <s v="Rural"/>
    <n v="2767"/>
    <n v="230.58333333333334"/>
    <n v="275.72707621916612"/>
    <n v="1.1957805979869871"/>
    <s v="Low Risk"/>
    <s v="&lt;5k"/>
    <x v="2"/>
    <n v="0"/>
    <x v="2"/>
  </r>
  <r>
    <x v="309"/>
    <s v="Female"/>
    <s v="Yes"/>
    <n v="0"/>
    <s v="Graduate"/>
    <s v="No"/>
    <n v="2157"/>
    <n v="1788"/>
    <n v="104"/>
    <n v="360"/>
    <n v="1"/>
    <s v="Urban"/>
    <n v="3945"/>
    <n v="328.75"/>
    <n v="799.67002292770701"/>
    <n v="2.4324563435063333"/>
    <s v="Low Risk"/>
    <s v="&lt;5k"/>
    <x v="0"/>
    <n v="0"/>
    <x v="0"/>
  </r>
  <r>
    <x v="310"/>
    <s v="Male"/>
    <s v="Yes"/>
    <n v="2"/>
    <s v="Not Graduate"/>
    <s v="No"/>
    <n v="2513"/>
    <n v="1110"/>
    <n v="107"/>
    <n v="360"/>
    <n v="1"/>
    <s v="Semiurban"/>
    <n v="3623"/>
    <n v="301.91666666666669"/>
    <n v="822.73742743523701"/>
    <n v="2.7250480621647375"/>
    <s v="Low Risk"/>
    <s v="&lt;5k"/>
    <x v="0"/>
    <n v="0"/>
    <x v="1"/>
  </r>
  <r>
    <x v="311"/>
    <s v="Male"/>
    <s v="No"/>
    <n v="0"/>
    <s v="Graduate"/>
    <s v="No"/>
    <n v="4333"/>
    <n v="0"/>
    <n v="66"/>
    <n v="480"/>
    <n v="1"/>
    <s v="Urban"/>
    <n v="4333"/>
    <n v="361.08333333333331"/>
    <n v="483.84208507057593"/>
    <n v="1.3399734643080803"/>
    <s v="Low Risk"/>
    <s v="&lt;5k"/>
    <x v="2"/>
    <n v="0"/>
    <x v="0"/>
  </r>
  <r>
    <x v="312"/>
    <s v="Male"/>
    <s v="No"/>
    <n v="0"/>
    <s v="Not Graduate"/>
    <s v="No"/>
    <n v="3844"/>
    <n v="0"/>
    <n v="105"/>
    <n v="360"/>
    <n v="1"/>
    <s v="Urban"/>
    <n v="3844"/>
    <n v="320.33333333333331"/>
    <n v="807.35915776355023"/>
    <n v="2.5203719805313742"/>
    <s v="Low Risk"/>
    <s v="&lt;5k"/>
    <x v="0"/>
    <n v="0"/>
    <x v="0"/>
  </r>
  <r>
    <x v="313"/>
    <s v="Male"/>
    <s v="Yes"/>
    <n v="0"/>
    <s v="Graduate"/>
    <s v="No"/>
    <n v="3510"/>
    <n v="828"/>
    <n v="105"/>
    <n v="360"/>
    <n v="1"/>
    <s v="Semiurban"/>
    <n v="4338"/>
    <n v="361.5"/>
    <n v="807.35915776355023"/>
    <n v="2.2333586660125873"/>
    <s v="Low Risk"/>
    <s v="&lt;5k"/>
    <x v="0"/>
    <n v="0"/>
    <x v="1"/>
  </r>
  <r>
    <x v="314"/>
    <s v="Male"/>
    <s v="Yes"/>
    <n v="0"/>
    <s v="Graduate"/>
    <s v="No"/>
    <n v="2539"/>
    <n v="1704"/>
    <n v="125"/>
    <n v="360"/>
    <n v="0"/>
    <s v="Rural"/>
    <n v="4243"/>
    <n v="353.58333333333331"/>
    <n v="961.14185448041712"/>
    <n v="2.7182894776726387"/>
    <s v="High Risk"/>
    <s v="&lt;5k"/>
    <x v="0"/>
    <n v="1"/>
    <x v="2"/>
  </r>
  <r>
    <x v="315"/>
    <s v="Female"/>
    <s v="No"/>
    <n v="0"/>
    <s v="Not Graduate"/>
    <s v="No"/>
    <n v="2107"/>
    <n v="0"/>
    <n v="64"/>
    <n v="360"/>
    <n v="1"/>
    <s v="Semiurban"/>
    <n v="2107"/>
    <n v="175.58333333333334"/>
    <n v="492.1046294939735"/>
    <n v="2.8026841736723691"/>
    <s v="Low Risk"/>
    <s v="&lt;5k"/>
    <x v="2"/>
    <n v="0"/>
    <x v="1"/>
  </r>
  <r>
    <x v="316"/>
    <s v="Male"/>
    <s v="Yes"/>
    <n v="0"/>
    <s v="Not Graduate"/>
    <s v="Yes"/>
    <n v="3943"/>
    <n v="0"/>
    <n v="64"/>
    <n v="360"/>
    <n v="1"/>
    <s v="Semiurban"/>
    <n v="3943"/>
    <n v="328.58333333333331"/>
    <n v="492.1046294939735"/>
    <n v="1.4976554790585044"/>
    <s v="Low Risk"/>
    <s v="&lt;5k"/>
    <x v="2"/>
    <n v="0"/>
    <x v="1"/>
  </r>
  <r>
    <x v="317"/>
    <s v="Male"/>
    <s v="No"/>
    <n v="0"/>
    <s v="Graduate"/>
    <s v="No"/>
    <n v="2925"/>
    <n v="0"/>
    <n v="40"/>
    <n v="180"/>
    <n v="1"/>
    <s v="Rural"/>
    <n v="2925"/>
    <n v="243.75"/>
    <n v="393.89582317023729"/>
    <n v="1.6159828642881531"/>
    <s v="Low Risk"/>
    <s v="&lt;5k"/>
    <x v="2"/>
    <n v="0"/>
    <x v="2"/>
  </r>
  <r>
    <x v="318"/>
    <s v="Male"/>
    <s v="Yes"/>
    <n v="3"/>
    <s v="Graduate"/>
    <s v="No"/>
    <n v="3242"/>
    <n v="437"/>
    <n v="142"/>
    <n v="480"/>
    <n v="0"/>
    <s v="Urban"/>
    <n v="3679"/>
    <n v="306.58333333333331"/>
    <n v="1040.9935769700271"/>
    <n v="3.39546695396584"/>
    <s v="High Risk"/>
    <s v="&lt;5k"/>
    <x v="0"/>
    <n v="1"/>
    <x v="0"/>
  </r>
  <r>
    <x v="319"/>
    <s v="Male"/>
    <s v="Yes"/>
    <n v="0"/>
    <s v="Graduate"/>
    <s v="No"/>
    <n v="3863"/>
    <n v="0"/>
    <n v="70"/>
    <n v="300"/>
    <n v="1"/>
    <s v="Semiurban"/>
    <n v="3863"/>
    <n v="321.91666666666669"/>
    <n v="563.65895842349187"/>
    <n v="1.7509468032829154"/>
    <s v="Low Risk"/>
    <s v="&lt;5k"/>
    <x v="2"/>
    <n v="0"/>
    <x v="1"/>
  </r>
  <r>
    <x v="320"/>
    <s v="Female"/>
    <s v="No"/>
    <n v="1"/>
    <s v="Graduate"/>
    <s v="No"/>
    <n v="4028"/>
    <n v="0"/>
    <n v="131"/>
    <n v="360"/>
    <n v="1"/>
    <s v="Semiurban"/>
    <n v="4028"/>
    <n v="335.66666666666669"/>
    <n v="1007.2766634954771"/>
    <n v="3.0008242209398523"/>
    <s v="Low Risk"/>
    <s v="&lt;5k"/>
    <x v="0"/>
    <n v="0"/>
    <x v="1"/>
  </r>
  <r>
    <x v="321"/>
    <s v="Male"/>
    <s v="No"/>
    <n v="0"/>
    <s v="Graduate"/>
    <s v="No"/>
    <n v="2858"/>
    <n v="0"/>
    <n v="123"/>
    <n v="360"/>
    <n v="0"/>
    <s v="Rural"/>
    <n v="2858"/>
    <n v="238.16666666666666"/>
    <n v="945.76358480873034"/>
    <n v="3.9710157514712261"/>
    <s v="High Risk"/>
    <s v="&lt;5k"/>
    <x v="0"/>
    <n v="1"/>
    <x v="2"/>
  </r>
  <r>
    <x v="322"/>
    <s v="Female"/>
    <s v="Yes"/>
    <n v="0"/>
    <s v="Graduate"/>
    <s v="No"/>
    <n v="3833"/>
    <n v="0"/>
    <n v="92"/>
    <n v="360"/>
    <n v="1"/>
    <s v="Rural"/>
    <n v="3833"/>
    <n v="319.41666666666669"/>
    <n v="707.4004048975869"/>
    <n v="2.2146634121500242"/>
    <s v="Low Risk"/>
    <s v="&lt;5k"/>
    <x v="2"/>
    <n v="0"/>
    <x v="2"/>
  </r>
  <r>
    <x v="323"/>
    <s v="Male"/>
    <s v="Yes"/>
    <n v="0"/>
    <s v="Graduate"/>
    <s v="No"/>
    <n v="2982"/>
    <n v="1550"/>
    <n v="110"/>
    <n v="360"/>
    <n v="1"/>
    <s v="Semiurban"/>
    <n v="4532"/>
    <n v="377.66666666666669"/>
    <n v="845.80483194276701"/>
    <n v="2.2395538356825249"/>
    <s v="Low Risk"/>
    <s v="&lt;5k"/>
    <x v="0"/>
    <n v="0"/>
    <x v="1"/>
  </r>
  <r>
    <x v="324"/>
    <s v="Male"/>
    <s v="No"/>
    <n v="0"/>
    <s v="Graduate"/>
    <s v="No"/>
    <n v="3417"/>
    <n v="738"/>
    <n v="100"/>
    <n v="360"/>
    <n v="0"/>
    <s v="Rural"/>
    <n v="4155"/>
    <n v="346.25"/>
    <n v="768.91348358433368"/>
    <n v="2.2206887612543933"/>
    <s v="High Risk"/>
    <s v="&lt;5k"/>
    <x v="0"/>
    <n v="1"/>
    <x v="2"/>
  </r>
  <r>
    <x v="325"/>
    <s v="Male"/>
    <s v="Yes"/>
    <n v="2"/>
    <s v="Graduate"/>
    <s v="No"/>
    <n v="2995"/>
    <n v="1120"/>
    <n v="184"/>
    <n v="360"/>
    <n v="1"/>
    <s v="Rural"/>
    <n v="4115"/>
    <n v="342.91666666666669"/>
    <n v="1414.8008097951738"/>
    <n v="4.1257860795971046"/>
    <s v="Low Risk"/>
    <s v="&lt;5k"/>
    <x v="0"/>
    <n v="0"/>
    <x v="2"/>
  </r>
  <r>
    <x v="326"/>
    <s v="Male"/>
    <s v="No"/>
    <n v="0"/>
    <s v="Graduate"/>
    <s v="No"/>
    <n v="3508"/>
    <n v="0"/>
    <n v="99"/>
    <n v="360"/>
    <n v="1"/>
    <s v="Rural"/>
    <n v="3508"/>
    <n v="292.33333333333331"/>
    <n v="761.22434874849023"/>
    <n v="2.6039601439515061"/>
    <s v="Low Risk"/>
    <s v="&lt;5k"/>
    <x v="2"/>
    <n v="0"/>
    <x v="2"/>
  </r>
  <r>
    <x v="327"/>
    <s v="Female"/>
    <s v="Yes"/>
    <n v="3"/>
    <s v="Not Graduate"/>
    <s v="No"/>
    <n v="1635"/>
    <n v="2444"/>
    <n v="99"/>
    <n v="360"/>
    <n v="1"/>
    <s v="Urban"/>
    <n v="4079"/>
    <n v="339.91666666666669"/>
    <n v="761.22434874849023"/>
    <n v="2.239444026717794"/>
    <s v="Low Risk"/>
    <s v="&lt;5k"/>
    <x v="2"/>
    <n v="0"/>
    <x v="0"/>
  </r>
  <r>
    <x v="328"/>
    <s v="Female"/>
    <s v="No"/>
    <n v="0"/>
    <s v="Graduate"/>
    <s v="No"/>
    <n v="3500"/>
    <n v="0"/>
    <n v="94"/>
    <n v="360"/>
    <n v="0"/>
    <s v="Semiurban"/>
    <n v="3500"/>
    <n v="291.66666666666669"/>
    <n v="722.77867456927368"/>
    <n v="2.478098312808938"/>
    <s v="High Risk"/>
    <s v="&lt;5k"/>
    <x v="2"/>
    <n v="1"/>
    <x v="1"/>
  </r>
  <r>
    <x v="329"/>
    <s v="Male"/>
    <s v="Yes"/>
    <n v="3"/>
    <s v="Graduate"/>
    <s v="No"/>
    <n v="2773"/>
    <n v="1497"/>
    <n v="108"/>
    <n v="360"/>
    <n v="1"/>
    <s v="Semiurban"/>
    <n v="4270"/>
    <n v="355.83333333333331"/>
    <n v="830.42656227108023"/>
    <n v="2.3337514630568998"/>
    <s v="Low Risk"/>
    <s v="&lt;5k"/>
    <x v="0"/>
    <n v="0"/>
    <x v="1"/>
  </r>
  <r>
    <x v="330"/>
    <s v="Male"/>
    <s v="Yes"/>
    <n v="3"/>
    <s v="Not Graduate"/>
    <s v="No"/>
    <n v="3634"/>
    <n v="910"/>
    <n v="176"/>
    <n v="360"/>
    <n v="0"/>
    <s v="Semiurban"/>
    <n v="4544"/>
    <n v="378.66666666666669"/>
    <n v="1353.2877311084274"/>
    <n v="3.5738232335609874"/>
    <s v="High Risk"/>
    <s v="&lt;5k"/>
    <x v="0"/>
    <n v="1"/>
    <x v="1"/>
  </r>
  <r>
    <x v="331"/>
    <s v="Male"/>
    <s v="No"/>
    <n v="0"/>
    <s v="Graduate"/>
    <s v="No"/>
    <n v="2166"/>
    <n v="2057"/>
    <n v="122"/>
    <n v="360"/>
    <n v="1"/>
    <s v="Semiurban"/>
    <n v="4223"/>
    <n v="351.91666666666669"/>
    <n v="938.07444997288701"/>
    <n v="2.6656152971050542"/>
    <s v="Low Risk"/>
    <s v="&lt;5k"/>
    <x v="0"/>
    <n v="0"/>
    <x v="1"/>
  </r>
  <r>
    <x v="332"/>
    <s v="Male"/>
    <s v="Yes"/>
    <n v="0"/>
    <s v="Not Graduate"/>
    <s v="No"/>
    <n v="2157"/>
    <n v="2730"/>
    <n v="140"/>
    <n v="360"/>
    <n v="0"/>
    <s v="Rural"/>
    <n v="4887"/>
    <n v="407.25"/>
    <n v="1076.4788770180671"/>
    <n v="2.6432876047098026"/>
    <s v="High Risk"/>
    <s v="&lt;5k"/>
    <x v="0"/>
    <n v="1"/>
    <x v="2"/>
  </r>
  <r>
    <x v="333"/>
    <s v="Male"/>
    <s v="No"/>
    <n v="0"/>
    <s v="Graduate"/>
    <s v="No"/>
    <n v="4983"/>
    <n v="0"/>
    <n v="141"/>
    <n v="360"/>
    <n v="1"/>
    <s v="Urban"/>
    <n v="4983"/>
    <n v="415.25"/>
    <n v="1084.1680118539102"/>
    <n v="2.6108802212014695"/>
    <s v="Low Risk"/>
    <s v="&lt;5k"/>
    <x v="0"/>
    <n v="0"/>
    <x v="0"/>
  </r>
  <r>
    <x v="334"/>
    <s v="Male"/>
    <s v="No"/>
    <n v="0"/>
    <s v="Not Graduate"/>
    <s v="No"/>
    <n v="3271"/>
    <n v="0"/>
    <n v="90"/>
    <n v="360"/>
    <n v="1"/>
    <s v="Rural"/>
    <n v="3271"/>
    <n v="272.58333333333331"/>
    <n v="692.02213522590023"/>
    <n v="2.5387543939806796"/>
    <s v="Low Risk"/>
    <s v="&lt;5k"/>
    <x v="2"/>
    <n v="0"/>
    <x v="2"/>
  </r>
  <r>
    <x v="335"/>
    <s v="Female"/>
    <s v="Yes"/>
    <n v="0"/>
    <s v="Graduate"/>
    <s v="No"/>
    <n v="2241"/>
    <n v="2000"/>
    <n v="88"/>
    <n v="360"/>
    <n v="0"/>
    <s v="Urban"/>
    <n v="4241"/>
    <n v="353.41666666666669"/>
    <n v="676.64386555421368"/>
    <n v="1.9145782566966667"/>
    <s v="High Risk"/>
    <s v="&lt;5k"/>
    <x v="2"/>
    <n v="1"/>
    <x v="0"/>
  </r>
  <r>
    <x v="336"/>
    <s v="Male"/>
    <s v="Yes"/>
    <n v="1"/>
    <s v="Not Graduate"/>
    <s v="No"/>
    <n v="1792"/>
    <n v="2565"/>
    <n v="128"/>
    <n v="360"/>
    <n v="1"/>
    <s v="Urban"/>
    <n v="4357"/>
    <n v="363.08333333333331"/>
    <n v="984.20925898794701"/>
    <n v="2.7106979820645778"/>
    <s v="Low Risk"/>
    <s v="&lt;5k"/>
    <x v="0"/>
    <n v="0"/>
    <x v="0"/>
  </r>
  <r>
    <x v="337"/>
    <s v="Female"/>
    <s v="Yes"/>
    <n v="0"/>
    <s v="Graduate"/>
    <s v="No"/>
    <n v="2666"/>
    <n v="0"/>
    <n v="84"/>
    <n v="480"/>
    <n v="1"/>
    <s v="Semiurban"/>
    <n v="2666"/>
    <n v="222.16666666666666"/>
    <n v="615.79901736255124"/>
    <n v="2.7717885252627963"/>
    <s v="Low Risk"/>
    <s v="&lt;5k"/>
    <x v="2"/>
    <n v="0"/>
    <x v="1"/>
  </r>
  <r>
    <x v="338"/>
    <s v="Male"/>
    <s v="No"/>
    <n v="0"/>
    <s v="Not Graduate"/>
    <s v="No"/>
    <n v="3808"/>
    <n v="0"/>
    <n v="83"/>
    <n v="360"/>
    <n v="1"/>
    <s v="Rural"/>
    <n v="3808"/>
    <n v="317.33333333333331"/>
    <n v="638.1981913749969"/>
    <n v="2.0111287543329737"/>
    <s v="Low Risk"/>
    <s v="&lt;5k"/>
    <x v="2"/>
    <n v="0"/>
    <x v="2"/>
  </r>
  <r>
    <x v="339"/>
    <s v="Female"/>
    <s v="Yes"/>
    <n v="2"/>
    <s v="Not Graduate"/>
    <s v="No"/>
    <n v="3729"/>
    <n v="0"/>
    <n v="117"/>
    <n v="360"/>
    <n v="1"/>
    <s v="Semiurban"/>
    <n v="3729"/>
    <n v="310.75"/>
    <n v="899.62877579367034"/>
    <n v="2.8950242181614492"/>
    <s v="Low Risk"/>
    <s v="&lt;5k"/>
    <x v="0"/>
    <n v="0"/>
    <x v="1"/>
  </r>
  <r>
    <x v="340"/>
    <s v="Male"/>
    <s v="Yes"/>
    <n v="2"/>
    <s v="Graduate"/>
    <s v="No"/>
    <n v="4120"/>
    <n v="0"/>
    <n v="128"/>
    <n v="360"/>
    <n v="1"/>
    <s v="Rural"/>
    <n v="4120"/>
    <n v="343.33333333333331"/>
    <n v="984.20925898794701"/>
    <n v="2.8666289096736324"/>
    <s v="Low Risk"/>
    <s v="&lt;5k"/>
    <x v="0"/>
    <n v="0"/>
    <x v="2"/>
  </r>
  <r>
    <x v="341"/>
    <s v="Male"/>
    <s v="Yes"/>
    <n v="1"/>
    <s v="Not Graduate"/>
    <s v="Yes"/>
    <n v="570"/>
    <n v="2125"/>
    <n v="68"/>
    <n v="360"/>
    <n v="1"/>
    <s v="Rural"/>
    <n v="2695"/>
    <n v="224.58333333333334"/>
    <n v="522.8611688373469"/>
    <n v="2.3281387851755704"/>
    <s v="Low Risk"/>
    <s v="&lt;5k"/>
    <x v="2"/>
    <n v="0"/>
    <x v="2"/>
  </r>
  <r>
    <x v="342"/>
    <s v="Male"/>
    <s v="Yes"/>
    <n v="0"/>
    <s v="Graduate"/>
    <s v="No"/>
    <n v="2600"/>
    <n v="700"/>
    <n v="96"/>
    <n v="360"/>
    <n v="1"/>
    <s v="Semiurban"/>
    <n v="3300"/>
    <n v="275"/>
    <n v="738.15694424096023"/>
    <n v="2.6842070699671283"/>
    <s v="Low Risk"/>
    <s v="&lt;5k"/>
    <x v="2"/>
    <n v="0"/>
    <x v="1"/>
  </r>
  <r>
    <x v="343"/>
    <s v="Male"/>
    <s v="No"/>
    <n v="2"/>
    <s v="Not Graduate"/>
    <s v="No"/>
    <n v="2733"/>
    <n v="1083"/>
    <n v="180"/>
    <n v="360"/>
    <n v="0"/>
    <s v="Semiurban"/>
    <n v="3816"/>
    <n v="318"/>
    <n v="1384.0442704518005"/>
    <n v="4.3523404731188693"/>
    <s v="High Risk"/>
    <s v="&lt;5k"/>
    <x v="0"/>
    <n v="1"/>
    <x v="1"/>
  </r>
  <r>
    <x v="344"/>
    <s v="Male"/>
    <s v="Yes"/>
    <n v="2"/>
    <s v="Not Graduate"/>
    <s v="No"/>
    <n v="3859"/>
    <n v="0"/>
    <n v="121"/>
    <n v="360"/>
    <n v="1"/>
    <s v="Rural"/>
    <n v="3859"/>
    <n v="321.58333333333331"/>
    <n v="930.38531513704368"/>
    <n v="2.8931390986381249"/>
    <s v="Low Risk"/>
    <s v="&lt;5k"/>
    <x v="0"/>
    <n v="0"/>
    <x v="2"/>
  </r>
  <r>
    <x v="345"/>
    <s v="Male"/>
    <s v="No"/>
    <n v="0"/>
    <s v="Graduate"/>
    <s v="No"/>
    <n v="2066"/>
    <n v="2108"/>
    <n v="104"/>
    <n v="84"/>
    <n v="1"/>
    <s v="Urban"/>
    <n v="4174"/>
    <n v="347.83333333333331"/>
    <n v="1646.9944854626324"/>
    <n v="4.7350104996529927"/>
    <s v="Low Risk"/>
    <s v="&lt;5k"/>
    <x v="0"/>
    <n v="0"/>
    <x v="0"/>
  </r>
  <r>
    <x v="346"/>
    <s v="Female"/>
    <s v="No"/>
    <n v="0"/>
    <s v="Graduate"/>
    <s v="No"/>
    <n v="3767"/>
    <n v="0"/>
    <n v="134"/>
    <n v="300"/>
    <n v="1"/>
    <s v="Urban"/>
    <n v="3767"/>
    <n v="313.91666666666669"/>
    <n v="1079.0042918392558"/>
    <n v="3.4372316172208834"/>
    <s v="Low Risk"/>
    <s v="&lt;5k"/>
    <x v="0"/>
    <n v="0"/>
    <x v="0"/>
  </r>
  <r>
    <x v="347"/>
    <s v="Female"/>
    <s v="Yes"/>
    <n v="0"/>
    <s v="Graduate"/>
    <s v="No"/>
    <n v="4283"/>
    <n v="0"/>
    <n v="120"/>
    <n v="360"/>
    <n v="1"/>
    <s v="Rural"/>
    <n v="4283"/>
    <n v="356.91666666666669"/>
    <n v="922.69618030120034"/>
    <n v="2.5851865896834938"/>
    <s v="Low Risk"/>
    <s v="&lt;5k"/>
    <x v="0"/>
    <n v="0"/>
    <x v="2"/>
  </r>
  <r>
    <x v="348"/>
    <s v="Male"/>
    <s v="Yes"/>
    <n v="0"/>
    <s v="Not Graduate"/>
    <s v="No"/>
    <n v="1700"/>
    <n v="2900"/>
    <n v="67"/>
    <n v="360"/>
    <n v="0"/>
    <s v="Urban"/>
    <n v="4600"/>
    <n v="383.33333333333331"/>
    <n v="515.17203400150356"/>
    <n v="1.3439270452213137"/>
    <s v="High Risk"/>
    <s v="&lt;5k"/>
    <x v="2"/>
    <n v="1"/>
    <x v="0"/>
  </r>
  <r>
    <x v="349"/>
    <s v="Male"/>
    <s v="No"/>
    <n v="0"/>
    <s v="Not Graduate"/>
    <s v="No"/>
    <n v="4768"/>
    <n v="0"/>
    <n v="125"/>
    <n v="360"/>
    <n v="1"/>
    <s v="Rural"/>
    <n v="4768"/>
    <n v="397.33333333333331"/>
    <n v="961.14185448041712"/>
    <n v="2.4189811773836003"/>
    <s v="Low Risk"/>
    <s v="&lt;5k"/>
    <x v="0"/>
    <n v="0"/>
    <x v="2"/>
  </r>
  <r>
    <x v="350"/>
    <s v="Male"/>
    <s v="Yes"/>
    <n v="1"/>
    <s v="Graduate"/>
    <s v="No"/>
    <n v="2667"/>
    <n v="1542"/>
    <n v="148"/>
    <n v="360"/>
    <n v="1"/>
    <s v="Rural"/>
    <n v="4209"/>
    <n v="350.75"/>
    <n v="1137.9919557048138"/>
    <n v="3.2444531880393837"/>
    <s v="Low Risk"/>
    <s v="&lt;5k"/>
    <x v="0"/>
    <n v="0"/>
    <x v="2"/>
  </r>
  <r>
    <x v="351"/>
    <s v="Female"/>
    <s v="Yes"/>
    <n v="0"/>
    <s v="Not Graduate"/>
    <s v="No"/>
    <n v="1647"/>
    <n v="1762"/>
    <n v="181"/>
    <n v="360"/>
    <n v="1"/>
    <s v="Urban"/>
    <n v="3409"/>
    <n v="284.08333333333331"/>
    <n v="1391.7334052876438"/>
    <n v="4.8990322274719054"/>
    <s v="Low Risk"/>
    <s v="&lt;5k"/>
    <x v="0"/>
    <n v="0"/>
    <x v="0"/>
  </r>
  <r>
    <x v="352"/>
    <s v="Male"/>
    <s v="Yes"/>
    <n v="3"/>
    <s v="Graduate"/>
    <s v="No"/>
    <n v="3400"/>
    <n v="0"/>
    <n v="80"/>
    <n v="120"/>
    <n v="1"/>
    <s v="Urban"/>
    <n v="3400"/>
    <n v="283.33333333333331"/>
    <n v="991.88551099608901"/>
    <n v="3.5007723917509028"/>
    <s v="Low Risk"/>
    <s v="&lt;5k"/>
    <x v="2"/>
    <n v="0"/>
    <x v="0"/>
  </r>
  <r>
    <x v="353"/>
    <s v="Male"/>
    <s v="Yes"/>
    <n v="1"/>
    <s v="Not Graduate"/>
    <s v="No"/>
    <n v="2600"/>
    <n v="618"/>
    <n v="122"/>
    <n v="360"/>
    <n v="1"/>
    <s v="Semiurban"/>
    <n v="3218"/>
    <n v="268.16666666666669"/>
    <n v="938.07444997288701"/>
    <n v="3.4981023616142459"/>
    <s v="Low Risk"/>
    <s v="&lt;5k"/>
    <x v="0"/>
    <n v="0"/>
    <x v="1"/>
  </r>
  <r>
    <x v="354"/>
    <s v="Female"/>
    <s v="Yes"/>
    <n v="0"/>
    <s v="Graduate"/>
    <s v="No"/>
    <n v="4709"/>
    <n v="0"/>
    <n v="113"/>
    <n v="360"/>
    <n v="1"/>
    <s v="Semiurban"/>
    <n v="4709"/>
    <n v="392.41666666666669"/>
    <n v="868.87223645029701"/>
    <n v="2.2141573237212917"/>
    <s v="Low Risk"/>
    <s v="&lt;5k"/>
    <x v="0"/>
    <n v="0"/>
    <x v="1"/>
  </r>
  <r>
    <x v="355"/>
    <s v="Male"/>
    <s v="Yes"/>
    <n v="0"/>
    <s v="Graduate"/>
    <s v="No"/>
    <n v="1516"/>
    <n v="1951"/>
    <n v="35"/>
    <n v="360"/>
    <n v="1"/>
    <s v="Semiurban"/>
    <n v="3467"/>
    <n v="288.91666666666669"/>
    <n v="269.11971925451678"/>
    <n v="0.9314786936989331"/>
    <s v="Low Risk"/>
    <s v="&lt;5k"/>
    <x v="2"/>
    <n v="0"/>
    <x v="1"/>
  </r>
  <r>
    <x v="356"/>
    <s v="Male"/>
    <s v="No"/>
    <n v="2"/>
    <s v="Graduate"/>
    <s v="No"/>
    <n v="2400"/>
    <n v="0"/>
    <n v="46"/>
    <n v="360"/>
    <n v="1"/>
    <s v="Urban"/>
    <n v="2400"/>
    <n v="200"/>
    <n v="353.70020244879345"/>
    <n v="1.7685010122439673"/>
    <s v="Low Risk"/>
    <s v="&lt;5k"/>
    <x v="2"/>
    <n v="0"/>
    <x v="0"/>
  </r>
  <r>
    <x v="357"/>
    <s v="Male"/>
    <s v="Yes"/>
    <n v="0"/>
    <s v="Graduate"/>
    <s v="No"/>
    <n v="2292"/>
    <n v="1558"/>
    <n v="119"/>
    <n v="360"/>
    <n v="1"/>
    <s v="Urban"/>
    <n v="3850"/>
    <n v="320.83333333333331"/>
    <n v="915.00704546535701"/>
    <n v="2.8519700118400739"/>
    <s v="Low Risk"/>
    <s v="&lt;5k"/>
    <x v="0"/>
    <n v="0"/>
    <x v="0"/>
  </r>
  <r>
    <x v="358"/>
    <s v="Male"/>
    <s v="Yes"/>
    <n v="3"/>
    <s v="Not Graduate"/>
    <s v="No"/>
    <n v="3522"/>
    <n v="0"/>
    <n v="81"/>
    <n v="180"/>
    <n v="1"/>
    <s v="Rural"/>
    <n v="3522"/>
    <n v="293.5"/>
    <n v="797.63904191973052"/>
    <n v="2.7176798702546185"/>
    <s v="Low Risk"/>
    <s v="&lt;5k"/>
    <x v="2"/>
    <n v="0"/>
    <x v="2"/>
  </r>
  <r>
    <x v="359"/>
    <s v="Male"/>
    <s v="Yes"/>
    <n v="1"/>
    <s v="Graduate"/>
    <s v="No"/>
    <n v="4700"/>
    <n v="0"/>
    <n v="80"/>
    <n v="360"/>
    <n v="1"/>
    <s v="Urban"/>
    <n v="4700"/>
    <n v="391.66666666666669"/>
    <n v="615.1307868674669"/>
    <n v="1.5705466898743834"/>
    <s v="Low Risk"/>
    <s v="&lt;5k"/>
    <x v="2"/>
    <n v="0"/>
    <x v="0"/>
  </r>
  <r>
    <x v="360"/>
    <s v="Male"/>
    <s v="No"/>
    <n v="0"/>
    <s v="Not Graduate"/>
    <s v="No"/>
    <n v="2868"/>
    <n v="0"/>
    <n v="70"/>
    <n v="360"/>
    <n v="1"/>
    <s v="Urban"/>
    <n v="2868"/>
    <n v="239"/>
    <n v="538.23943850903356"/>
    <n v="2.2520478598704332"/>
    <s v="Low Risk"/>
    <s v="&lt;5k"/>
    <x v="2"/>
    <n v="0"/>
    <x v="0"/>
  </r>
  <r>
    <x v="361"/>
    <s v="Male"/>
    <s v="Yes"/>
    <n v="2"/>
    <s v="Not Graduate"/>
    <s v="No"/>
    <n v="3418"/>
    <n v="1380"/>
    <n v="135"/>
    <n v="360"/>
    <n v="1"/>
    <s v="Urban"/>
    <n v="4798"/>
    <n v="399.83333333333331"/>
    <n v="1038.0332028388502"/>
    <n v="2.5961647424064616"/>
    <s v="Low Risk"/>
    <s v="&lt;5k"/>
    <x v="0"/>
    <n v="0"/>
    <x v="0"/>
  </r>
  <r>
    <x v="362"/>
    <s v="Male"/>
    <s v="Yes"/>
    <n v="0"/>
    <s v="Graduate"/>
    <s v="Yes"/>
    <n v="2500"/>
    <n v="296"/>
    <n v="137"/>
    <n v="300"/>
    <n v="1"/>
    <s v="Rural"/>
    <n v="2796"/>
    <n v="233"/>
    <n v="1103.1611043431199"/>
    <n v="4.7345970143481537"/>
    <s v="Low Risk"/>
    <s v="&lt;5k"/>
    <x v="0"/>
    <n v="0"/>
    <x v="2"/>
  </r>
  <r>
    <x v="363"/>
    <s v="Male"/>
    <s v="No"/>
    <n v="0"/>
    <s v="Graduate"/>
    <s v="No"/>
    <n v="2500"/>
    <n v="0"/>
    <n v="60"/>
    <n v="360"/>
    <n v="1"/>
    <s v="Urban"/>
    <n v="2500"/>
    <n v="208.33333333333334"/>
    <n v="461.34809015060017"/>
    <n v="2.2144708327228808"/>
    <s v="Low Risk"/>
    <s v="&lt;5k"/>
    <x v="2"/>
    <n v="0"/>
    <x v="0"/>
  </r>
  <r>
    <x v="364"/>
    <s v="Male"/>
    <s v="Yes"/>
    <n v="2"/>
    <s v="Not Graduate"/>
    <s v="No"/>
    <n v="3132"/>
    <n v="0"/>
    <n v="76"/>
    <n v="360"/>
    <n v="0"/>
    <s v="Rural"/>
    <n v="3132"/>
    <n v="261"/>
    <n v="584.37424752409356"/>
    <n v="2.238981791280052"/>
    <s v="High Risk"/>
    <s v="&lt;5k"/>
    <x v="2"/>
    <n v="1"/>
    <x v="2"/>
  </r>
  <r>
    <x v="365"/>
    <s v="Male"/>
    <s v="Yes"/>
    <n v="1"/>
    <s v="Graduate"/>
    <s v="No"/>
    <n v="2269"/>
    <n v="2167"/>
    <n v="99"/>
    <n v="360"/>
    <n v="1"/>
    <s v="Semiurban"/>
    <n v="4436"/>
    <n v="369.66666666666669"/>
    <n v="761.22434874849023"/>
    <n v="2.0592182563079087"/>
    <s v="Low Risk"/>
    <s v="&lt;5k"/>
    <x v="2"/>
    <n v="0"/>
    <x v="1"/>
  </r>
  <r>
    <x v="366"/>
    <s v="Male"/>
    <s v="Yes"/>
    <n v="0"/>
    <s v="Graduate"/>
    <s v="No"/>
    <n v="4158"/>
    <n v="709"/>
    <n v="115"/>
    <n v="360"/>
    <n v="1"/>
    <s v="Urban"/>
    <n v="4867"/>
    <n v="405.58333333333331"/>
    <n v="884.25050612198368"/>
    <n v="2.1801943853428818"/>
    <s v="Low Risk"/>
    <s v="&lt;5k"/>
    <x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A8CFD-A057-4FC9-86D6-071D8377DA5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0">
    <pivotField dataField="1" showAll="0">
      <items count="368">
        <item x="0"/>
        <item x="201"/>
        <item x="1"/>
        <item x="202"/>
        <item x="203"/>
        <item x="2"/>
        <item x="204"/>
        <item x="205"/>
        <item x="177"/>
        <item x="206"/>
        <item x="207"/>
        <item x="208"/>
        <item x="209"/>
        <item x="178"/>
        <item x="210"/>
        <item x="3"/>
        <item x="4"/>
        <item x="211"/>
        <item x="179"/>
        <item x="212"/>
        <item x="213"/>
        <item x="214"/>
        <item x="215"/>
        <item x="216"/>
        <item x="5"/>
        <item x="169"/>
        <item x="6"/>
        <item x="180"/>
        <item x="217"/>
        <item x="7"/>
        <item x="218"/>
        <item x="8"/>
        <item x="219"/>
        <item x="9"/>
        <item x="220"/>
        <item x="221"/>
        <item x="181"/>
        <item x="10"/>
        <item x="11"/>
        <item x="12"/>
        <item x="13"/>
        <item x="222"/>
        <item x="223"/>
        <item x="14"/>
        <item x="224"/>
        <item x="15"/>
        <item x="16"/>
        <item x="225"/>
        <item x="182"/>
        <item x="17"/>
        <item x="226"/>
        <item x="227"/>
        <item x="18"/>
        <item x="19"/>
        <item x="20"/>
        <item x="228"/>
        <item x="229"/>
        <item x="21"/>
        <item x="22"/>
        <item x="230"/>
        <item x="231"/>
        <item x="23"/>
        <item x="232"/>
        <item x="233"/>
        <item x="234"/>
        <item x="24"/>
        <item x="235"/>
        <item x="236"/>
        <item x="25"/>
        <item x="26"/>
        <item x="237"/>
        <item x="238"/>
        <item x="27"/>
        <item x="28"/>
        <item x="29"/>
        <item x="30"/>
        <item x="31"/>
        <item x="32"/>
        <item x="33"/>
        <item x="34"/>
        <item x="239"/>
        <item x="200"/>
        <item x="240"/>
        <item x="35"/>
        <item x="241"/>
        <item x="183"/>
        <item x="36"/>
        <item x="242"/>
        <item x="37"/>
        <item x="38"/>
        <item x="39"/>
        <item x="184"/>
        <item x="40"/>
        <item x="41"/>
        <item x="42"/>
        <item x="43"/>
        <item x="44"/>
        <item x="45"/>
        <item x="46"/>
        <item x="47"/>
        <item x="243"/>
        <item x="244"/>
        <item x="245"/>
        <item x="246"/>
        <item x="247"/>
        <item x="248"/>
        <item x="249"/>
        <item x="250"/>
        <item x="251"/>
        <item x="48"/>
        <item x="252"/>
        <item x="253"/>
        <item x="254"/>
        <item x="49"/>
        <item x="50"/>
        <item x="51"/>
        <item x="255"/>
        <item x="256"/>
        <item x="257"/>
        <item x="258"/>
        <item x="259"/>
        <item x="52"/>
        <item x="260"/>
        <item x="53"/>
        <item x="185"/>
        <item x="261"/>
        <item x="54"/>
        <item x="55"/>
        <item x="262"/>
        <item x="56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57"/>
        <item x="58"/>
        <item x="170"/>
        <item x="186"/>
        <item x="187"/>
        <item x="274"/>
        <item x="59"/>
        <item x="60"/>
        <item x="61"/>
        <item x="62"/>
        <item x="275"/>
        <item x="63"/>
        <item x="276"/>
        <item x="277"/>
        <item x="278"/>
        <item x="64"/>
        <item x="65"/>
        <item x="66"/>
        <item x="67"/>
        <item x="68"/>
        <item x="279"/>
        <item x="69"/>
        <item x="280"/>
        <item x="70"/>
        <item x="281"/>
        <item x="282"/>
        <item x="71"/>
        <item x="283"/>
        <item x="284"/>
        <item x="285"/>
        <item x="286"/>
        <item x="72"/>
        <item x="73"/>
        <item x="287"/>
        <item x="74"/>
        <item x="75"/>
        <item x="288"/>
        <item x="76"/>
        <item x="188"/>
        <item x="77"/>
        <item x="78"/>
        <item x="289"/>
        <item x="79"/>
        <item x="189"/>
        <item x="290"/>
        <item x="80"/>
        <item x="81"/>
        <item x="190"/>
        <item x="191"/>
        <item x="291"/>
        <item x="292"/>
        <item x="82"/>
        <item x="293"/>
        <item x="192"/>
        <item x="83"/>
        <item x="294"/>
        <item x="295"/>
        <item x="296"/>
        <item x="297"/>
        <item x="84"/>
        <item x="298"/>
        <item x="299"/>
        <item x="85"/>
        <item x="300"/>
        <item x="86"/>
        <item x="87"/>
        <item x="301"/>
        <item x="302"/>
        <item x="88"/>
        <item x="303"/>
        <item x="89"/>
        <item x="90"/>
        <item x="91"/>
        <item x="92"/>
        <item x="93"/>
        <item x="94"/>
        <item x="193"/>
        <item x="95"/>
        <item x="96"/>
        <item x="304"/>
        <item x="97"/>
        <item x="305"/>
        <item x="98"/>
        <item x="99"/>
        <item x="306"/>
        <item x="307"/>
        <item x="100"/>
        <item x="101"/>
        <item x="102"/>
        <item x="171"/>
        <item x="103"/>
        <item x="308"/>
        <item x="104"/>
        <item x="309"/>
        <item x="105"/>
        <item x="106"/>
        <item x="172"/>
        <item x="310"/>
        <item x="311"/>
        <item x="312"/>
        <item x="107"/>
        <item x="313"/>
        <item x="314"/>
        <item x="315"/>
        <item x="108"/>
        <item x="109"/>
        <item x="194"/>
        <item x="316"/>
        <item x="317"/>
        <item x="318"/>
        <item x="319"/>
        <item x="320"/>
        <item x="110"/>
        <item x="111"/>
        <item x="321"/>
        <item x="322"/>
        <item x="112"/>
        <item x="113"/>
        <item x="114"/>
        <item x="115"/>
        <item x="323"/>
        <item x="324"/>
        <item x="195"/>
        <item x="325"/>
        <item x="116"/>
        <item x="117"/>
        <item x="118"/>
        <item x="119"/>
        <item x="326"/>
        <item x="327"/>
        <item x="120"/>
        <item x="173"/>
        <item x="121"/>
        <item x="328"/>
        <item x="329"/>
        <item x="122"/>
        <item x="123"/>
        <item x="330"/>
        <item x="174"/>
        <item x="331"/>
        <item x="124"/>
        <item x="125"/>
        <item x="126"/>
        <item x="175"/>
        <item x="127"/>
        <item x="332"/>
        <item x="128"/>
        <item x="333"/>
        <item x="196"/>
        <item x="129"/>
        <item x="130"/>
        <item x="334"/>
        <item x="335"/>
        <item x="336"/>
        <item x="337"/>
        <item x="131"/>
        <item x="338"/>
        <item x="339"/>
        <item x="340"/>
        <item x="132"/>
        <item x="133"/>
        <item x="197"/>
        <item x="341"/>
        <item x="342"/>
        <item x="343"/>
        <item x="134"/>
        <item x="344"/>
        <item x="135"/>
        <item x="136"/>
        <item x="137"/>
        <item x="138"/>
        <item x="345"/>
        <item x="139"/>
        <item x="346"/>
        <item x="140"/>
        <item x="347"/>
        <item x="348"/>
        <item x="349"/>
        <item x="141"/>
        <item x="350"/>
        <item x="351"/>
        <item x="352"/>
        <item x="176"/>
        <item x="142"/>
        <item x="143"/>
        <item x="353"/>
        <item x="144"/>
        <item x="145"/>
        <item x="146"/>
        <item x="147"/>
        <item x="148"/>
        <item x="149"/>
        <item x="354"/>
        <item x="355"/>
        <item x="356"/>
        <item x="150"/>
        <item x="357"/>
        <item x="151"/>
        <item x="152"/>
        <item x="153"/>
        <item x="154"/>
        <item x="358"/>
        <item x="359"/>
        <item x="155"/>
        <item x="156"/>
        <item x="157"/>
        <item x="360"/>
        <item x="361"/>
        <item x="362"/>
        <item x="158"/>
        <item x="198"/>
        <item x="159"/>
        <item x="160"/>
        <item x="161"/>
        <item x="162"/>
        <item x="163"/>
        <item x="363"/>
        <item x="364"/>
        <item x="164"/>
        <item x="199"/>
        <item x="365"/>
        <item x="165"/>
        <item x="366"/>
        <item x="166"/>
        <item x="16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loans" fld="0" subtotal="count" baseField="17" baseItem="0"/>
    <dataField name="high risk" fld="19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E5B7D-0BB5-4CBF-B956-0E7FA3FAF50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dataField="1" showAll="0">
      <items count="368">
        <item x="0"/>
        <item x="201"/>
        <item x="1"/>
        <item x="202"/>
        <item x="203"/>
        <item x="2"/>
        <item x="204"/>
        <item x="205"/>
        <item x="177"/>
        <item x="206"/>
        <item x="207"/>
        <item x="208"/>
        <item x="209"/>
        <item x="178"/>
        <item x="210"/>
        <item x="3"/>
        <item x="4"/>
        <item x="211"/>
        <item x="179"/>
        <item x="212"/>
        <item x="213"/>
        <item x="214"/>
        <item x="215"/>
        <item x="216"/>
        <item x="5"/>
        <item x="169"/>
        <item x="6"/>
        <item x="180"/>
        <item x="217"/>
        <item x="7"/>
        <item x="218"/>
        <item x="8"/>
        <item x="219"/>
        <item x="9"/>
        <item x="220"/>
        <item x="221"/>
        <item x="181"/>
        <item x="10"/>
        <item x="11"/>
        <item x="12"/>
        <item x="13"/>
        <item x="222"/>
        <item x="223"/>
        <item x="14"/>
        <item x="224"/>
        <item x="15"/>
        <item x="16"/>
        <item x="225"/>
        <item x="182"/>
        <item x="17"/>
        <item x="226"/>
        <item x="227"/>
        <item x="18"/>
        <item x="19"/>
        <item x="20"/>
        <item x="228"/>
        <item x="229"/>
        <item x="21"/>
        <item x="22"/>
        <item x="230"/>
        <item x="231"/>
        <item x="23"/>
        <item x="232"/>
        <item x="233"/>
        <item x="234"/>
        <item x="24"/>
        <item x="235"/>
        <item x="236"/>
        <item x="25"/>
        <item x="26"/>
        <item x="237"/>
        <item x="238"/>
        <item x="27"/>
        <item x="28"/>
        <item x="29"/>
        <item x="30"/>
        <item x="31"/>
        <item x="32"/>
        <item x="33"/>
        <item x="34"/>
        <item x="239"/>
        <item x="200"/>
        <item x="240"/>
        <item x="35"/>
        <item x="241"/>
        <item x="183"/>
        <item x="36"/>
        <item x="242"/>
        <item x="37"/>
        <item x="38"/>
        <item x="39"/>
        <item x="184"/>
        <item x="40"/>
        <item x="41"/>
        <item x="42"/>
        <item x="43"/>
        <item x="44"/>
        <item x="45"/>
        <item x="46"/>
        <item x="47"/>
        <item x="243"/>
        <item x="244"/>
        <item x="245"/>
        <item x="246"/>
        <item x="247"/>
        <item x="248"/>
        <item x="249"/>
        <item x="250"/>
        <item x="251"/>
        <item x="48"/>
        <item x="252"/>
        <item x="253"/>
        <item x="254"/>
        <item x="49"/>
        <item x="50"/>
        <item x="51"/>
        <item x="255"/>
        <item x="256"/>
        <item x="257"/>
        <item x="258"/>
        <item x="259"/>
        <item x="52"/>
        <item x="260"/>
        <item x="53"/>
        <item x="185"/>
        <item x="261"/>
        <item x="54"/>
        <item x="55"/>
        <item x="262"/>
        <item x="56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57"/>
        <item x="58"/>
        <item x="170"/>
        <item x="186"/>
        <item x="187"/>
        <item x="274"/>
        <item x="59"/>
        <item x="60"/>
        <item x="61"/>
        <item x="62"/>
        <item x="275"/>
        <item x="63"/>
        <item x="276"/>
        <item x="277"/>
        <item x="278"/>
        <item x="64"/>
        <item x="65"/>
        <item x="66"/>
        <item x="67"/>
        <item x="68"/>
        <item x="279"/>
        <item x="69"/>
        <item x="280"/>
        <item x="70"/>
        <item x="281"/>
        <item x="282"/>
        <item x="71"/>
        <item x="283"/>
        <item x="284"/>
        <item x="285"/>
        <item x="286"/>
        <item x="72"/>
        <item x="73"/>
        <item x="287"/>
        <item x="74"/>
        <item x="75"/>
        <item x="288"/>
        <item x="76"/>
        <item x="188"/>
        <item x="77"/>
        <item x="78"/>
        <item x="289"/>
        <item x="79"/>
        <item x="189"/>
        <item x="290"/>
        <item x="80"/>
        <item x="81"/>
        <item x="190"/>
        <item x="191"/>
        <item x="291"/>
        <item x="292"/>
        <item x="82"/>
        <item x="293"/>
        <item x="192"/>
        <item x="83"/>
        <item x="294"/>
        <item x="295"/>
        <item x="296"/>
        <item x="297"/>
        <item x="84"/>
        <item x="298"/>
        <item x="299"/>
        <item x="85"/>
        <item x="300"/>
        <item x="86"/>
        <item x="87"/>
        <item x="301"/>
        <item x="302"/>
        <item x="88"/>
        <item x="303"/>
        <item x="89"/>
        <item x="90"/>
        <item x="91"/>
        <item x="92"/>
        <item x="93"/>
        <item x="94"/>
        <item x="193"/>
        <item x="95"/>
        <item x="96"/>
        <item x="304"/>
        <item x="97"/>
        <item x="305"/>
        <item x="98"/>
        <item x="99"/>
        <item x="306"/>
        <item x="307"/>
        <item x="100"/>
        <item x="101"/>
        <item x="102"/>
        <item x="171"/>
        <item x="103"/>
        <item x="308"/>
        <item x="104"/>
        <item x="309"/>
        <item x="105"/>
        <item x="106"/>
        <item x="172"/>
        <item x="310"/>
        <item x="311"/>
        <item x="312"/>
        <item x="107"/>
        <item x="313"/>
        <item x="314"/>
        <item x="315"/>
        <item x="108"/>
        <item x="109"/>
        <item x="194"/>
        <item x="316"/>
        <item x="317"/>
        <item x="318"/>
        <item x="319"/>
        <item x="320"/>
        <item x="110"/>
        <item x="111"/>
        <item x="321"/>
        <item x="322"/>
        <item x="112"/>
        <item x="113"/>
        <item x="114"/>
        <item x="115"/>
        <item x="323"/>
        <item x="324"/>
        <item x="195"/>
        <item x="325"/>
        <item x="116"/>
        <item x="117"/>
        <item x="118"/>
        <item x="119"/>
        <item x="326"/>
        <item x="327"/>
        <item x="120"/>
        <item x="173"/>
        <item x="121"/>
        <item x="328"/>
        <item x="329"/>
        <item x="122"/>
        <item x="123"/>
        <item x="330"/>
        <item x="174"/>
        <item x="331"/>
        <item x="124"/>
        <item x="125"/>
        <item x="126"/>
        <item x="175"/>
        <item x="127"/>
        <item x="332"/>
        <item x="128"/>
        <item x="333"/>
        <item x="196"/>
        <item x="129"/>
        <item x="130"/>
        <item x="334"/>
        <item x="335"/>
        <item x="336"/>
        <item x="337"/>
        <item x="131"/>
        <item x="338"/>
        <item x="339"/>
        <item x="340"/>
        <item x="132"/>
        <item x="133"/>
        <item x="197"/>
        <item x="341"/>
        <item x="342"/>
        <item x="343"/>
        <item x="134"/>
        <item x="344"/>
        <item x="135"/>
        <item x="136"/>
        <item x="137"/>
        <item x="138"/>
        <item x="345"/>
        <item x="139"/>
        <item x="346"/>
        <item x="140"/>
        <item x="347"/>
        <item x="348"/>
        <item x="349"/>
        <item x="141"/>
        <item x="350"/>
        <item x="351"/>
        <item x="352"/>
        <item x="176"/>
        <item x="142"/>
        <item x="143"/>
        <item x="353"/>
        <item x="144"/>
        <item x="145"/>
        <item x="146"/>
        <item x="147"/>
        <item x="148"/>
        <item x="149"/>
        <item x="354"/>
        <item x="355"/>
        <item x="356"/>
        <item x="150"/>
        <item x="357"/>
        <item x="151"/>
        <item x="152"/>
        <item x="153"/>
        <item x="154"/>
        <item x="358"/>
        <item x="359"/>
        <item x="155"/>
        <item x="156"/>
        <item x="157"/>
        <item x="360"/>
        <item x="361"/>
        <item x="362"/>
        <item x="158"/>
        <item x="198"/>
        <item x="159"/>
        <item x="160"/>
        <item x="161"/>
        <item x="162"/>
        <item x="163"/>
        <item x="363"/>
        <item x="364"/>
        <item x="164"/>
        <item x="199"/>
        <item x="365"/>
        <item x="165"/>
        <item x="366"/>
        <item x="166"/>
        <item x="16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dataField="1" showAll="0"/>
    <pivotField axis="axisRow" showAll="0" sortType="descending">
      <items count="4">
        <item x="2"/>
        <item x="1"/>
        <item x="0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loans" fld="0" subtotal="count" baseField="20" baseItem="0"/>
    <dataField name="high risk" fld="19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53330-0187-43E2-9969-8AE9BEBF503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1">
    <pivotField dataField="1" showAll="0">
      <items count="368">
        <item x="0"/>
        <item x="201"/>
        <item x="1"/>
        <item x="202"/>
        <item x="203"/>
        <item x="2"/>
        <item x="204"/>
        <item x="205"/>
        <item x="177"/>
        <item x="206"/>
        <item x="207"/>
        <item x="208"/>
        <item x="209"/>
        <item x="178"/>
        <item x="210"/>
        <item x="3"/>
        <item x="4"/>
        <item x="211"/>
        <item x="179"/>
        <item x="212"/>
        <item x="213"/>
        <item x="214"/>
        <item x="215"/>
        <item x="216"/>
        <item x="5"/>
        <item x="169"/>
        <item x="6"/>
        <item x="180"/>
        <item x="217"/>
        <item x="7"/>
        <item x="218"/>
        <item x="8"/>
        <item x="219"/>
        <item x="9"/>
        <item x="220"/>
        <item x="221"/>
        <item x="181"/>
        <item x="10"/>
        <item x="11"/>
        <item x="12"/>
        <item x="13"/>
        <item x="222"/>
        <item x="223"/>
        <item x="14"/>
        <item x="224"/>
        <item x="15"/>
        <item x="16"/>
        <item x="225"/>
        <item x="182"/>
        <item x="17"/>
        <item x="226"/>
        <item x="227"/>
        <item x="18"/>
        <item x="19"/>
        <item x="20"/>
        <item x="228"/>
        <item x="229"/>
        <item x="21"/>
        <item x="22"/>
        <item x="230"/>
        <item x="231"/>
        <item x="23"/>
        <item x="232"/>
        <item x="233"/>
        <item x="234"/>
        <item x="24"/>
        <item x="235"/>
        <item x="236"/>
        <item x="25"/>
        <item x="26"/>
        <item x="237"/>
        <item x="238"/>
        <item x="27"/>
        <item x="28"/>
        <item x="29"/>
        <item x="30"/>
        <item x="31"/>
        <item x="32"/>
        <item x="33"/>
        <item x="34"/>
        <item x="239"/>
        <item x="200"/>
        <item x="240"/>
        <item x="35"/>
        <item x="241"/>
        <item x="183"/>
        <item x="36"/>
        <item x="242"/>
        <item x="37"/>
        <item x="38"/>
        <item x="39"/>
        <item x="184"/>
        <item x="40"/>
        <item x="41"/>
        <item x="42"/>
        <item x="43"/>
        <item x="44"/>
        <item x="45"/>
        <item x="46"/>
        <item x="47"/>
        <item x="243"/>
        <item x="244"/>
        <item x="245"/>
        <item x="246"/>
        <item x="247"/>
        <item x="248"/>
        <item x="249"/>
        <item x="250"/>
        <item x="251"/>
        <item x="48"/>
        <item x="252"/>
        <item x="253"/>
        <item x="254"/>
        <item x="49"/>
        <item x="50"/>
        <item x="51"/>
        <item x="255"/>
        <item x="256"/>
        <item x="257"/>
        <item x="258"/>
        <item x="259"/>
        <item x="52"/>
        <item x="260"/>
        <item x="53"/>
        <item x="185"/>
        <item x="261"/>
        <item x="54"/>
        <item x="55"/>
        <item x="262"/>
        <item x="56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57"/>
        <item x="58"/>
        <item x="170"/>
        <item x="186"/>
        <item x="187"/>
        <item x="274"/>
        <item x="59"/>
        <item x="60"/>
        <item x="61"/>
        <item x="62"/>
        <item x="275"/>
        <item x="63"/>
        <item x="276"/>
        <item x="277"/>
        <item x="278"/>
        <item x="64"/>
        <item x="65"/>
        <item x="66"/>
        <item x="67"/>
        <item x="68"/>
        <item x="279"/>
        <item x="69"/>
        <item x="280"/>
        <item x="70"/>
        <item x="281"/>
        <item x="282"/>
        <item x="71"/>
        <item x="283"/>
        <item x="284"/>
        <item x="285"/>
        <item x="286"/>
        <item x="72"/>
        <item x="73"/>
        <item x="287"/>
        <item x="74"/>
        <item x="75"/>
        <item x="288"/>
        <item x="76"/>
        <item x="188"/>
        <item x="77"/>
        <item x="78"/>
        <item x="289"/>
        <item x="79"/>
        <item x="189"/>
        <item x="290"/>
        <item x="80"/>
        <item x="81"/>
        <item x="190"/>
        <item x="191"/>
        <item x="291"/>
        <item x="292"/>
        <item x="82"/>
        <item x="293"/>
        <item x="192"/>
        <item x="83"/>
        <item x="294"/>
        <item x="295"/>
        <item x="296"/>
        <item x="297"/>
        <item x="84"/>
        <item x="298"/>
        <item x="299"/>
        <item x="85"/>
        <item x="300"/>
        <item x="86"/>
        <item x="87"/>
        <item x="301"/>
        <item x="302"/>
        <item x="88"/>
        <item x="303"/>
        <item x="89"/>
        <item x="90"/>
        <item x="91"/>
        <item x="92"/>
        <item x="93"/>
        <item x="94"/>
        <item x="193"/>
        <item x="95"/>
        <item x="96"/>
        <item x="304"/>
        <item x="97"/>
        <item x="305"/>
        <item x="98"/>
        <item x="99"/>
        <item x="306"/>
        <item x="307"/>
        <item x="100"/>
        <item x="101"/>
        <item x="102"/>
        <item x="171"/>
        <item x="103"/>
        <item x="308"/>
        <item x="104"/>
        <item x="309"/>
        <item x="105"/>
        <item x="106"/>
        <item x="172"/>
        <item x="310"/>
        <item x="311"/>
        <item x="312"/>
        <item x="107"/>
        <item x="313"/>
        <item x="314"/>
        <item x="315"/>
        <item x="108"/>
        <item x="109"/>
        <item x="194"/>
        <item x="316"/>
        <item x="317"/>
        <item x="318"/>
        <item x="319"/>
        <item x="320"/>
        <item x="110"/>
        <item x="111"/>
        <item x="321"/>
        <item x="322"/>
        <item x="112"/>
        <item x="113"/>
        <item x="114"/>
        <item x="115"/>
        <item x="323"/>
        <item x="324"/>
        <item x="195"/>
        <item x="325"/>
        <item x="116"/>
        <item x="117"/>
        <item x="118"/>
        <item x="119"/>
        <item x="326"/>
        <item x="327"/>
        <item x="120"/>
        <item x="173"/>
        <item x="121"/>
        <item x="328"/>
        <item x="329"/>
        <item x="122"/>
        <item x="123"/>
        <item x="330"/>
        <item x="174"/>
        <item x="331"/>
        <item x="124"/>
        <item x="125"/>
        <item x="126"/>
        <item x="175"/>
        <item x="127"/>
        <item x="332"/>
        <item x="128"/>
        <item x="333"/>
        <item x="196"/>
        <item x="129"/>
        <item x="130"/>
        <item x="334"/>
        <item x="335"/>
        <item x="336"/>
        <item x="337"/>
        <item x="131"/>
        <item x="338"/>
        <item x="339"/>
        <item x="340"/>
        <item x="132"/>
        <item x="133"/>
        <item x="197"/>
        <item x="341"/>
        <item x="342"/>
        <item x="343"/>
        <item x="134"/>
        <item x="344"/>
        <item x="135"/>
        <item x="136"/>
        <item x="137"/>
        <item x="138"/>
        <item x="345"/>
        <item x="139"/>
        <item x="346"/>
        <item x="140"/>
        <item x="347"/>
        <item x="348"/>
        <item x="349"/>
        <item x="141"/>
        <item x="350"/>
        <item x="351"/>
        <item x="352"/>
        <item x="176"/>
        <item x="142"/>
        <item x="143"/>
        <item x="353"/>
        <item x="144"/>
        <item x="145"/>
        <item x="146"/>
        <item x="147"/>
        <item x="148"/>
        <item x="149"/>
        <item x="354"/>
        <item x="355"/>
        <item x="356"/>
        <item x="150"/>
        <item x="357"/>
        <item x="151"/>
        <item x="152"/>
        <item x="153"/>
        <item x="154"/>
        <item x="358"/>
        <item x="359"/>
        <item x="155"/>
        <item x="156"/>
        <item x="157"/>
        <item x="360"/>
        <item x="361"/>
        <item x="362"/>
        <item x="158"/>
        <item x="198"/>
        <item x="159"/>
        <item x="160"/>
        <item x="161"/>
        <item x="162"/>
        <item x="163"/>
        <item x="363"/>
        <item x="364"/>
        <item x="164"/>
        <item x="199"/>
        <item x="365"/>
        <item x="165"/>
        <item x="366"/>
        <item x="166"/>
        <item x="16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axis="axisRow" showAll="0" sortType="descending">
      <items count="7">
        <item x="5"/>
        <item x="3"/>
        <item x="1"/>
        <item x="0"/>
        <item x="4"/>
        <item x="2"/>
        <item t="default"/>
      </items>
    </pivotField>
    <pivotField dataField="1" showAll="0"/>
    <pivotField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loans" fld="0" subtotal="count" baseField="18" baseItem="0"/>
    <dataField name="high risk" fld="19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7605-FAE9-4279-9926-A69F80D3FA7E}">
  <dimension ref="A1:U368"/>
  <sheetViews>
    <sheetView tabSelected="1" topLeftCell="J1" workbookViewId="0">
      <selection activeCell="V6" sqref="V6"/>
    </sheetView>
  </sheetViews>
  <sheetFormatPr defaultRowHeight="14.4" x14ac:dyDescent="0.3"/>
  <cols>
    <col min="1" max="1" width="10" bestFit="1" customWidth="1"/>
    <col min="2" max="2" width="9.109375" bestFit="1" customWidth="1"/>
    <col min="3" max="3" width="9.6640625" bestFit="1" customWidth="1"/>
    <col min="4" max="4" width="12.88671875" bestFit="1" customWidth="1"/>
    <col min="5" max="5" width="12.109375" bestFit="1" customWidth="1"/>
    <col min="6" max="6" width="15.33203125" bestFit="1" customWidth="1"/>
    <col min="7" max="7" width="17" bestFit="1" customWidth="1"/>
    <col min="8" max="8" width="19.109375" bestFit="1" customWidth="1"/>
    <col min="9" max="9" width="13.6640625" bestFit="1" customWidth="1"/>
    <col min="10" max="10" width="20.109375" bestFit="1" customWidth="1"/>
    <col min="11" max="11" width="14.88671875" bestFit="1" customWidth="1"/>
    <col min="12" max="12" width="15" bestFit="1" customWidth="1"/>
    <col min="13" max="13" width="12.5546875" bestFit="1" customWidth="1"/>
    <col min="14" max="14" width="19.109375" bestFit="1" customWidth="1"/>
    <col min="15" max="15" width="11.109375" style="3" bestFit="1" customWidth="1"/>
    <col min="16" max="16" width="18.44140625" style="3" bestFit="1" customWidth="1"/>
    <col min="17" max="17" width="8.5546875" customWidth="1"/>
    <col min="19" max="19" width="20" bestFit="1" customWidth="1"/>
    <col min="21" max="21" width="8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390</v>
      </c>
      <c r="N1" t="s">
        <v>391</v>
      </c>
      <c r="O1" s="3" t="s">
        <v>392</v>
      </c>
      <c r="P1" s="3" t="s">
        <v>396</v>
      </c>
      <c r="Q1" t="s">
        <v>393</v>
      </c>
      <c r="R1" t="s">
        <v>397</v>
      </c>
      <c r="S1" t="s">
        <v>398</v>
      </c>
      <c r="T1" t="s">
        <v>411</v>
      </c>
      <c r="U1" t="s">
        <v>414</v>
      </c>
    </row>
    <row r="2" spans="1:21" x14ac:dyDescent="0.3">
      <c r="A2" t="s">
        <v>12</v>
      </c>
      <c r="B2" t="s">
        <v>13</v>
      </c>
      <c r="C2" t="s">
        <v>14</v>
      </c>
      <c r="D2">
        <v>0</v>
      </c>
      <c r="E2" t="s">
        <v>15</v>
      </c>
      <c r="F2" t="s">
        <v>16</v>
      </c>
      <c r="G2">
        <v>5720</v>
      </c>
      <c r="H2">
        <v>0</v>
      </c>
      <c r="I2">
        <v>110</v>
      </c>
      <c r="J2">
        <v>360</v>
      </c>
      <c r="K2">
        <v>1</v>
      </c>
      <c r="L2" t="s">
        <v>17</v>
      </c>
      <c r="M2">
        <v>5720</v>
      </c>
      <c r="N2">
        <v>476.66666666666669</v>
      </c>
      <c r="O2" s="3">
        <v>845.80483194276701</v>
      </c>
      <c r="P2" s="3">
        <v>1.7744157313484621</v>
      </c>
      <c r="Q2" t="s">
        <v>395</v>
      </c>
      <c r="R2" t="s">
        <v>399</v>
      </c>
      <c r="S2" t="s">
        <v>404</v>
      </c>
      <c r="T2">
        <v>0</v>
      </c>
      <c r="U2" t="s">
        <v>415</v>
      </c>
    </row>
    <row r="3" spans="1:21" x14ac:dyDescent="0.3">
      <c r="A3" t="s">
        <v>19</v>
      </c>
      <c r="B3" t="s">
        <v>13</v>
      </c>
      <c r="C3" t="s">
        <v>14</v>
      </c>
      <c r="D3">
        <v>2</v>
      </c>
      <c r="E3" t="s">
        <v>15</v>
      </c>
      <c r="F3" t="s">
        <v>16</v>
      </c>
      <c r="G3">
        <v>5000</v>
      </c>
      <c r="H3">
        <v>1800</v>
      </c>
      <c r="I3">
        <v>208</v>
      </c>
      <c r="J3">
        <v>360</v>
      </c>
      <c r="K3">
        <v>1</v>
      </c>
      <c r="L3" t="s">
        <v>17</v>
      </c>
      <c r="M3">
        <v>6800</v>
      </c>
      <c r="N3">
        <v>566.66666666666663</v>
      </c>
      <c r="O3" s="3">
        <v>1599.340045855414</v>
      </c>
      <c r="P3" s="3">
        <v>2.8223647868036719</v>
      </c>
      <c r="Q3" t="s">
        <v>395</v>
      </c>
      <c r="R3" t="s">
        <v>399</v>
      </c>
      <c r="S3" t="s">
        <v>405</v>
      </c>
      <c r="T3">
        <v>0</v>
      </c>
      <c r="U3" t="s">
        <v>415</v>
      </c>
    </row>
    <row r="4" spans="1:21" x14ac:dyDescent="0.3">
      <c r="A4" t="s">
        <v>23</v>
      </c>
      <c r="B4" t="s">
        <v>13</v>
      </c>
      <c r="C4" t="s">
        <v>14</v>
      </c>
      <c r="D4">
        <v>0</v>
      </c>
      <c r="E4" t="s">
        <v>22</v>
      </c>
      <c r="F4" t="s">
        <v>14</v>
      </c>
      <c r="G4">
        <v>2165</v>
      </c>
      <c r="H4">
        <v>3422</v>
      </c>
      <c r="I4">
        <v>152</v>
      </c>
      <c r="J4">
        <v>360</v>
      </c>
      <c r="K4">
        <v>1</v>
      </c>
      <c r="L4" t="s">
        <v>17</v>
      </c>
      <c r="M4">
        <v>5587</v>
      </c>
      <c r="N4">
        <v>465.58333333333331</v>
      </c>
      <c r="O4" s="3">
        <v>1168.7484950481871</v>
      </c>
      <c r="P4" s="3">
        <v>2.510288516301816</v>
      </c>
      <c r="Q4" t="s">
        <v>395</v>
      </c>
      <c r="R4" t="s">
        <v>399</v>
      </c>
      <c r="S4" t="s">
        <v>404</v>
      </c>
      <c r="T4">
        <v>0</v>
      </c>
      <c r="U4" t="s">
        <v>415</v>
      </c>
    </row>
    <row r="5" spans="1:21" x14ac:dyDescent="0.3">
      <c r="A5" t="s">
        <v>36</v>
      </c>
      <c r="B5" t="s">
        <v>13</v>
      </c>
      <c r="C5" t="s">
        <v>16</v>
      </c>
      <c r="D5">
        <v>1</v>
      </c>
      <c r="E5" t="s">
        <v>15</v>
      </c>
      <c r="F5" t="s">
        <v>16</v>
      </c>
      <c r="G5">
        <v>5667</v>
      </c>
      <c r="H5">
        <v>0</v>
      </c>
      <c r="I5">
        <v>131</v>
      </c>
      <c r="J5">
        <v>360</v>
      </c>
      <c r="K5">
        <v>1</v>
      </c>
      <c r="L5" t="s">
        <v>17</v>
      </c>
      <c r="M5">
        <v>5667</v>
      </c>
      <c r="N5">
        <v>472.25</v>
      </c>
      <c r="O5" s="3">
        <v>1007.2766634954771</v>
      </c>
      <c r="P5" s="3">
        <v>2.1329309973435198</v>
      </c>
      <c r="Q5" t="s">
        <v>395</v>
      </c>
      <c r="R5" t="s">
        <v>399</v>
      </c>
      <c r="S5" t="s">
        <v>404</v>
      </c>
      <c r="T5">
        <v>0</v>
      </c>
      <c r="U5" t="s">
        <v>415</v>
      </c>
    </row>
    <row r="6" spans="1:21" x14ac:dyDescent="0.3">
      <c r="A6" t="s">
        <v>37</v>
      </c>
      <c r="B6" t="s">
        <v>13</v>
      </c>
      <c r="C6" t="s">
        <v>14</v>
      </c>
      <c r="D6">
        <v>2</v>
      </c>
      <c r="E6" t="s">
        <v>15</v>
      </c>
      <c r="F6" t="s">
        <v>16</v>
      </c>
      <c r="G6">
        <v>4583</v>
      </c>
      <c r="H6">
        <v>2916</v>
      </c>
      <c r="I6">
        <v>200</v>
      </c>
      <c r="J6">
        <v>360</v>
      </c>
      <c r="K6">
        <v>1</v>
      </c>
      <c r="L6" t="s">
        <v>17</v>
      </c>
      <c r="M6">
        <v>7499</v>
      </c>
      <c r="N6">
        <v>624.91666666666663</v>
      </c>
      <c r="O6" s="3">
        <v>1537.8269671686674</v>
      </c>
      <c r="P6" s="3">
        <v>2.4608512609713307</v>
      </c>
      <c r="Q6" t="s">
        <v>395</v>
      </c>
      <c r="R6" t="s">
        <v>399</v>
      </c>
      <c r="S6" t="s">
        <v>405</v>
      </c>
      <c r="T6">
        <v>0</v>
      </c>
      <c r="U6" t="s">
        <v>415</v>
      </c>
    </row>
    <row r="7" spans="1:21" x14ac:dyDescent="0.3">
      <c r="A7" t="s">
        <v>45</v>
      </c>
      <c r="B7" t="s">
        <v>13</v>
      </c>
      <c r="C7" t="s">
        <v>14</v>
      </c>
      <c r="D7">
        <v>0</v>
      </c>
      <c r="E7" t="s">
        <v>15</v>
      </c>
      <c r="F7" t="s">
        <v>16</v>
      </c>
      <c r="G7">
        <v>5400</v>
      </c>
      <c r="H7">
        <v>4380</v>
      </c>
      <c r="I7">
        <v>290</v>
      </c>
      <c r="J7">
        <v>360</v>
      </c>
      <c r="K7">
        <v>1</v>
      </c>
      <c r="L7" t="s">
        <v>17</v>
      </c>
      <c r="M7">
        <v>9780</v>
      </c>
      <c r="N7">
        <v>815</v>
      </c>
      <c r="O7" s="3">
        <v>2229.8491023945676</v>
      </c>
      <c r="P7" s="3">
        <v>2.7360111685822917</v>
      </c>
      <c r="Q7" t="s">
        <v>395</v>
      </c>
      <c r="R7" t="s">
        <v>399</v>
      </c>
      <c r="S7" t="s">
        <v>405</v>
      </c>
      <c r="T7">
        <v>0</v>
      </c>
      <c r="U7" t="s">
        <v>415</v>
      </c>
    </row>
    <row r="8" spans="1:21" x14ac:dyDescent="0.3">
      <c r="A8" t="s">
        <v>47</v>
      </c>
      <c r="B8" t="s">
        <v>13</v>
      </c>
      <c r="C8" t="s">
        <v>14</v>
      </c>
      <c r="D8">
        <v>2</v>
      </c>
      <c r="E8" t="s">
        <v>15</v>
      </c>
      <c r="F8" t="s">
        <v>16</v>
      </c>
      <c r="G8">
        <v>4363</v>
      </c>
      <c r="H8">
        <v>1250</v>
      </c>
      <c r="I8">
        <v>140</v>
      </c>
      <c r="J8">
        <v>360</v>
      </c>
      <c r="K8">
        <v>0</v>
      </c>
      <c r="L8" t="s">
        <v>17</v>
      </c>
      <c r="M8">
        <v>5613</v>
      </c>
      <c r="N8">
        <v>467.75</v>
      </c>
      <c r="O8" s="3">
        <v>1076.4788770180671</v>
      </c>
      <c r="P8" s="3">
        <v>2.3013979198675942</v>
      </c>
      <c r="Q8" t="s">
        <v>394</v>
      </c>
      <c r="R8" t="s">
        <v>399</v>
      </c>
      <c r="S8" t="s">
        <v>404</v>
      </c>
      <c r="T8">
        <v>1</v>
      </c>
      <c r="U8" t="s">
        <v>415</v>
      </c>
    </row>
    <row r="9" spans="1:21" x14ac:dyDescent="0.3">
      <c r="A9" t="s">
        <v>50</v>
      </c>
      <c r="B9" t="s">
        <v>13</v>
      </c>
      <c r="C9" t="s">
        <v>16</v>
      </c>
      <c r="D9">
        <v>0</v>
      </c>
      <c r="E9" t="s">
        <v>15</v>
      </c>
      <c r="F9" t="s">
        <v>16</v>
      </c>
      <c r="G9">
        <v>2942</v>
      </c>
      <c r="H9">
        <v>2382</v>
      </c>
      <c r="I9">
        <v>125</v>
      </c>
      <c r="J9">
        <v>180</v>
      </c>
      <c r="K9">
        <v>1</v>
      </c>
      <c r="L9" t="s">
        <v>17</v>
      </c>
      <c r="M9">
        <v>5324</v>
      </c>
      <c r="N9">
        <v>443.66666666666669</v>
      </c>
      <c r="O9" s="3">
        <v>1230.9244474069915</v>
      </c>
      <c r="P9" s="3">
        <v>2.774435268385405</v>
      </c>
      <c r="Q9" t="s">
        <v>395</v>
      </c>
      <c r="R9" t="s">
        <v>399</v>
      </c>
      <c r="S9" t="s">
        <v>404</v>
      </c>
      <c r="T9">
        <v>0</v>
      </c>
      <c r="U9" t="s">
        <v>415</v>
      </c>
    </row>
    <row r="10" spans="1:21" x14ac:dyDescent="0.3">
      <c r="A10" t="s">
        <v>52</v>
      </c>
      <c r="B10" t="s">
        <v>13</v>
      </c>
      <c r="C10" t="s">
        <v>14</v>
      </c>
      <c r="D10">
        <v>2</v>
      </c>
      <c r="E10" t="s">
        <v>15</v>
      </c>
      <c r="F10" t="s">
        <v>16</v>
      </c>
      <c r="G10">
        <v>6250</v>
      </c>
      <c r="H10">
        <v>820</v>
      </c>
      <c r="I10">
        <v>192</v>
      </c>
      <c r="J10">
        <v>360</v>
      </c>
      <c r="K10">
        <v>1</v>
      </c>
      <c r="L10" t="s">
        <v>17</v>
      </c>
      <c r="M10">
        <v>7070</v>
      </c>
      <c r="N10">
        <v>589.16666666666663</v>
      </c>
      <c r="O10" s="3">
        <v>1476.3138884819205</v>
      </c>
      <c r="P10" s="3">
        <v>2.5057661473526234</v>
      </c>
      <c r="Q10" t="s">
        <v>395</v>
      </c>
      <c r="R10" t="s">
        <v>399</v>
      </c>
      <c r="S10" t="s">
        <v>404</v>
      </c>
      <c r="T10">
        <v>0</v>
      </c>
      <c r="U10" t="s">
        <v>415</v>
      </c>
    </row>
    <row r="11" spans="1:21" x14ac:dyDescent="0.3">
      <c r="A11" t="s">
        <v>54</v>
      </c>
      <c r="B11" t="s">
        <v>13</v>
      </c>
      <c r="C11" t="s">
        <v>14</v>
      </c>
      <c r="D11">
        <v>0</v>
      </c>
      <c r="E11" t="s">
        <v>15</v>
      </c>
      <c r="F11" t="s">
        <v>16</v>
      </c>
      <c r="G11">
        <v>2783</v>
      </c>
      <c r="H11">
        <v>2708</v>
      </c>
      <c r="I11">
        <v>158</v>
      </c>
      <c r="J11">
        <v>360</v>
      </c>
      <c r="K11">
        <v>1</v>
      </c>
      <c r="L11" t="s">
        <v>17</v>
      </c>
      <c r="M11">
        <v>5491</v>
      </c>
      <c r="N11">
        <v>457.58333333333331</v>
      </c>
      <c r="O11" s="3">
        <v>1214.8833040632471</v>
      </c>
      <c r="P11" s="3">
        <v>2.6549990254523705</v>
      </c>
      <c r="Q11" t="s">
        <v>395</v>
      </c>
      <c r="R11" t="s">
        <v>399</v>
      </c>
      <c r="S11" t="s">
        <v>404</v>
      </c>
      <c r="T11">
        <v>0</v>
      </c>
      <c r="U11" t="s">
        <v>415</v>
      </c>
    </row>
    <row r="12" spans="1:21" x14ac:dyDescent="0.3">
      <c r="A12" t="s">
        <v>58</v>
      </c>
      <c r="B12" t="s">
        <v>13</v>
      </c>
      <c r="C12" t="s">
        <v>14</v>
      </c>
      <c r="D12">
        <v>0</v>
      </c>
      <c r="E12" t="s">
        <v>15</v>
      </c>
      <c r="F12" t="s">
        <v>14</v>
      </c>
      <c r="G12">
        <v>2267</v>
      </c>
      <c r="H12">
        <v>2792</v>
      </c>
      <c r="I12">
        <v>90</v>
      </c>
      <c r="J12">
        <v>360</v>
      </c>
      <c r="K12">
        <v>1</v>
      </c>
      <c r="L12" t="s">
        <v>17</v>
      </c>
      <c r="M12">
        <v>5059</v>
      </c>
      <c r="N12">
        <v>421.58333333333331</v>
      </c>
      <c r="O12" s="3">
        <v>692.02213522590023</v>
      </c>
      <c r="P12" s="3">
        <v>1.6414836178515129</v>
      </c>
      <c r="Q12" t="s">
        <v>395</v>
      </c>
      <c r="R12" t="s">
        <v>399</v>
      </c>
      <c r="S12" t="s">
        <v>406</v>
      </c>
      <c r="T12">
        <v>0</v>
      </c>
      <c r="U12" t="s">
        <v>415</v>
      </c>
    </row>
    <row r="13" spans="1:21" x14ac:dyDescent="0.3">
      <c r="A13" t="s">
        <v>59</v>
      </c>
      <c r="B13" t="s">
        <v>13</v>
      </c>
      <c r="C13" t="s">
        <v>16</v>
      </c>
      <c r="D13">
        <v>0</v>
      </c>
      <c r="E13" t="s">
        <v>15</v>
      </c>
      <c r="F13" t="s">
        <v>14</v>
      </c>
      <c r="G13">
        <v>5833</v>
      </c>
      <c r="H13">
        <v>0</v>
      </c>
      <c r="I13">
        <v>116</v>
      </c>
      <c r="J13">
        <v>360</v>
      </c>
      <c r="K13">
        <v>1</v>
      </c>
      <c r="L13" t="s">
        <v>17</v>
      </c>
      <c r="M13">
        <v>5833</v>
      </c>
      <c r="N13">
        <v>486.08333333333331</v>
      </c>
      <c r="O13" s="3">
        <v>891.93964095782701</v>
      </c>
      <c r="P13" s="3">
        <v>1.8349521158055759</v>
      </c>
      <c r="Q13" t="s">
        <v>395</v>
      </c>
      <c r="R13" t="s">
        <v>399</v>
      </c>
      <c r="S13" t="s">
        <v>404</v>
      </c>
      <c r="T13">
        <v>0</v>
      </c>
      <c r="U13" t="s">
        <v>415</v>
      </c>
    </row>
    <row r="14" spans="1:21" x14ac:dyDescent="0.3">
      <c r="A14" t="s">
        <v>60</v>
      </c>
      <c r="B14" t="s">
        <v>13</v>
      </c>
      <c r="C14" t="s">
        <v>16</v>
      </c>
      <c r="D14">
        <v>0</v>
      </c>
      <c r="E14" t="s">
        <v>15</v>
      </c>
      <c r="F14" t="s">
        <v>16</v>
      </c>
      <c r="G14">
        <v>3643</v>
      </c>
      <c r="H14">
        <v>1963</v>
      </c>
      <c r="I14">
        <v>138</v>
      </c>
      <c r="J14">
        <v>360</v>
      </c>
      <c r="K14">
        <v>1</v>
      </c>
      <c r="L14" t="s">
        <v>17</v>
      </c>
      <c r="M14">
        <v>5606</v>
      </c>
      <c r="N14">
        <v>467.16666666666669</v>
      </c>
      <c r="O14" s="3">
        <v>1061.1006073463805</v>
      </c>
      <c r="P14" s="3">
        <v>2.2713534227892551</v>
      </c>
      <c r="Q14" t="s">
        <v>395</v>
      </c>
      <c r="R14" t="s">
        <v>399</v>
      </c>
      <c r="S14" t="s">
        <v>404</v>
      </c>
      <c r="T14">
        <v>0</v>
      </c>
      <c r="U14" t="s">
        <v>415</v>
      </c>
    </row>
    <row r="15" spans="1:21" x14ac:dyDescent="0.3">
      <c r="A15" t="s">
        <v>61</v>
      </c>
      <c r="B15" t="s">
        <v>13</v>
      </c>
      <c r="C15" t="s">
        <v>14</v>
      </c>
      <c r="D15">
        <v>0</v>
      </c>
      <c r="E15" t="s">
        <v>15</v>
      </c>
      <c r="F15" t="s">
        <v>16</v>
      </c>
      <c r="G15">
        <v>5629</v>
      </c>
      <c r="H15">
        <v>818</v>
      </c>
      <c r="I15">
        <v>100</v>
      </c>
      <c r="J15">
        <v>360</v>
      </c>
      <c r="K15">
        <v>1</v>
      </c>
      <c r="L15" t="s">
        <v>17</v>
      </c>
      <c r="M15">
        <v>6447</v>
      </c>
      <c r="N15">
        <v>537.25</v>
      </c>
      <c r="O15" s="3">
        <v>768.91348358433368</v>
      </c>
      <c r="P15" s="3">
        <v>1.4312023891751209</v>
      </c>
      <c r="Q15" t="s">
        <v>395</v>
      </c>
      <c r="R15" t="s">
        <v>399</v>
      </c>
      <c r="S15" t="s">
        <v>404</v>
      </c>
      <c r="T15">
        <v>0</v>
      </c>
      <c r="U15" t="s">
        <v>415</v>
      </c>
    </row>
    <row r="16" spans="1:21" x14ac:dyDescent="0.3">
      <c r="A16" t="s">
        <v>64</v>
      </c>
      <c r="B16" t="s">
        <v>13</v>
      </c>
      <c r="C16" t="s">
        <v>16</v>
      </c>
      <c r="D16">
        <v>0</v>
      </c>
      <c r="E16" t="s">
        <v>15</v>
      </c>
      <c r="F16" t="s">
        <v>16</v>
      </c>
      <c r="G16">
        <v>6500</v>
      </c>
      <c r="H16">
        <v>2600</v>
      </c>
      <c r="I16">
        <v>200</v>
      </c>
      <c r="J16">
        <v>360</v>
      </c>
      <c r="K16">
        <v>1</v>
      </c>
      <c r="L16" t="s">
        <v>26</v>
      </c>
      <c r="M16">
        <v>9100</v>
      </c>
      <c r="N16">
        <v>758.33333333333337</v>
      </c>
      <c r="O16" s="3">
        <v>1537.8269671686674</v>
      </c>
      <c r="P16" s="3">
        <v>2.0279036929696712</v>
      </c>
      <c r="Q16" t="s">
        <v>395</v>
      </c>
      <c r="R16" t="s">
        <v>399</v>
      </c>
      <c r="S16" t="s">
        <v>405</v>
      </c>
      <c r="T16">
        <v>0</v>
      </c>
      <c r="U16" t="s">
        <v>416</v>
      </c>
    </row>
    <row r="17" spans="1:21" x14ac:dyDescent="0.3">
      <c r="A17" t="s">
        <v>66</v>
      </c>
      <c r="B17" t="s">
        <v>13</v>
      </c>
      <c r="C17" t="s">
        <v>14</v>
      </c>
      <c r="D17">
        <v>0</v>
      </c>
      <c r="E17" t="s">
        <v>15</v>
      </c>
      <c r="F17" t="s">
        <v>16</v>
      </c>
      <c r="G17">
        <v>4260</v>
      </c>
      <c r="H17">
        <v>3900</v>
      </c>
      <c r="I17">
        <v>185</v>
      </c>
      <c r="J17">
        <v>360</v>
      </c>
      <c r="K17">
        <v>0</v>
      </c>
      <c r="L17" t="s">
        <v>17</v>
      </c>
      <c r="M17">
        <v>8160</v>
      </c>
      <c r="N17">
        <v>680</v>
      </c>
      <c r="O17" s="3">
        <v>1422.4899446310171</v>
      </c>
      <c r="P17" s="3">
        <v>2.0918969773985547</v>
      </c>
      <c r="Q17" t="s">
        <v>394</v>
      </c>
      <c r="R17" t="s">
        <v>399</v>
      </c>
      <c r="S17" t="s">
        <v>404</v>
      </c>
      <c r="T17">
        <v>1</v>
      </c>
      <c r="U17" t="s">
        <v>415</v>
      </c>
    </row>
    <row r="18" spans="1:21" x14ac:dyDescent="0.3">
      <c r="A18" t="s">
        <v>67</v>
      </c>
      <c r="B18" t="s">
        <v>13</v>
      </c>
      <c r="C18" t="s">
        <v>14</v>
      </c>
      <c r="D18">
        <v>0</v>
      </c>
      <c r="E18" t="s">
        <v>22</v>
      </c>
      <c r="F18" t="s">
        <v>16</v>
      </c>
      <c r="G18">
        <v>4163</v>
      </c>
      <c r="H18">
        <v>1475</v>
      </c>
      <c r="I18">
        <v>162</v>
      </c>
      <c r="J18">
        <v>360</v>
      </c>
      <c r="K18">
        <v>1</v>
      </c>
      <c r="L18" t="s">
        <v>17</v>
      </c>
      <c r="M18">
        <v>5638</v>
      </c>
      <c r="N18">
        <v>469.83333333333331</v>
      </c>
      <c r="O18" s="3">
        <v>1245.6398434066205</v>
      </c>
      <c r="P18" s="3">
        <v>2.6512376943737932</v>
      </c>
      <c r="Q18" t="s">
        <v>395</v>
      </c>
      <c r="R18" t="s">
        <v>399</v>
      </c>
      <c r="S18" t="s">
        <v>404</v>
      </c>
      <c r="T18">
        <v>0</v>
      </c>
      <c r="U18" t="s">
        <v>415</v>
      </c>
    </row>
    <row r="19" spans="1:21" x14ac:dyDescent="0.3">
      <c r="A19" t="s">
        <v>70</v>
      </c>
      <c r="B19" t="s">
        <v>13</v>
      </c>
      <c r="C19" t="s">
        <v>14</v>
      </c>
      <c r="D19">
        <v>3</v>
      </c>
      <c r="E19" t="s">
        <v>22</v>
      </c>
      <c r="F19" t="s">
        <v>14</v>
      </c>
      <c r="G19">
        <v>8000</v>
      </c>
      <c r="H19">
        <v>250</v>
      </c>
      <c r="I19">
        <v>187</v>
      </c>
      <c r="J19">
        <v>360</v>
      </c>
      <c r="K19">
        <v>1</v>
      </c>
      <c r="L19" t="s">
        <v>26</v>
      </c>
      <c r="M19">
        <v>8250</v>
      </c>
      <c r="N19">
        <v>687.5</v>
      </c>
      <c r="O19" s="3">
        <v>1437.8682143027038</v>
      </c>
      <c r="P19" s="3">
        <v>2.0914446753493872</v>
      </c>
      <c r="Q19" t="s">
        <v>395</v>
      </c>
      <c r="R19" t="s">
        <v>399</v>
      </c>
      <c r="S19" t="s">
        <v>404</v>
      </c>
      <c r="T19">
        <v>0</v>
      </c>
      <c r="U19" t="s">
        <v>416</v>
      </c>
    </row>
    <row r="20" spans="1:21" x14ac:dyDescent="0.3">
      <c r="A20" t="s">
        <v>73</v>
      </c>
      <c r="B20" t="s">
        <v>13</v>
      </c>
      <c r="C20" t="s">
        <v>14</v>
      </c>
      <c r="D20">
        <v>1</v>
      </c>
      <c r="E20" t="s">
        <v>15</v>
      </c>
      <c r="F20" t="s">
        <v>16</v>
      </c>
      <c r="G20">
        <v>3500</v>
      </c>
      <c r="H20">
        <v>3077</v>
      </c>
      <c r="I20">
        <v>160</v>
      </c>
      <c r="J20">
        <v>360</v>
      </c>
      <c r="K20">
        <v>1</v>
      </c>
      <c r="L20" t="s">
        <v>26</v>
      </c>
      <c r="M20">
        <v>6577</v>
      </c>
      <c r="N20">
        <v>548.08333333333337</v>
      </c>
      <c r="O20" s="3">
        <v>1230.2615737349338</v>
      </c>
      <c r="P20" s="3">
        <v>2.2446615303054895</v>
      </c>
      <c r="Q20" t="s">
        <v>395</v>
      </c>
      <c r="R20" t="s">
        <v>399</v>
      </c>
      <c r="S20" t="s">
        <v>404</v>
      </c>
      <c r="T20">
        <v>0</v>
      </c>
      <c r="U20" t="s">
        <v>416</v>
      </c>
    </row>
    <row r="21" spans="1:21" x14ac:dyDescent="0.3">
      <c r="A21" t="s">
        <v>74</v>
      </c>
      <c r="B21" t="s">
        <v>13</v>
      </c>
      <c r="C21" t="s">
        <v>14</v>
      </c>
      <c r="D21">
        <v>2</v>
      </c>
      <c r="E21" t="s">
        <v>15</v>
      </c>
      <c r="F21" t="s">
        <v>16</v>
      </c>
      <c r="G21">
        <v>4116</v>
      </c>
      <c r="H21">
        <v>1000</v>
      </c>
      <c r="I21">
        <v>30</v>
      </c>
      <c r="J21">
        <v>180</v>
      </c>
      <c r="K21">
        <v>1</v>
      </c>
      <c r="L21" t="s">
        <v>17</v>
      </c>
      <c r="M21">
        <v>5116</v>
      </c>
      <c r="N21">
        <v>426.33333333333331</v>
      </c>
      <c r="O21" s="3">
        <v>295.42186737767798</v>
      </c>
      <c r="P21" s="3">
        <v>0.69293635819627364</v>
      </c>
      <c r="Q21" t="s">
        <v>395</v>
      </c>
      <c r="R21" t="s">
        <v>399</v>
      </c>
      <c r="S21" t="s">
        <v>406</v>
      </c>
      <c r="T21">
        <v>0</v>
      </c>
      <c r="U21" t="s">
        <v>415</v>
      </c>
    </row>
    <row r="22" spans="1:21" x14ac:dyDescent="0.3">
      <c r="A22" t="s">
        <v>75</v>
      </c>
      <c r="B22" t="s">
        <v>13</v>
      </c>
      <c r="C22" t="s">
        <v>14</v>
      </c>
      <c r="D22">
        <v>0</v>
      </c>
      <c r="E22" t="s">
        <v>22</v>
      </c>
      <c r="F22" t="s">
        <v>14</v>
      </c>
      <c r="G22">
        <v>5293</v>
      </c>
      <c r="H22">
        <v>0</v>
      </c>
      <c r="I22">
        <v>92</v>
      </c>
      <c r="J22">
        <v>360</v>
      </c>
      <c r="K22">
        <v>1</v>
      </c>
      <c r="L22" t="s">
        <v>17</v>
      </c>
      <c r="M22">
        <v>5293</v>
      </c>
      <c r="N22">
        <v>441.08333333333331</v>
      </c>
      <c r="O22" s="3">
        <v>707.4004048975869</v>
      </c>
      <c r="P22" s="3">
        <v>1.6037794934387009</v>
      </c>
      <c r="Q22" t="s">
        <v>395</v>
      </c>
      <c r="R22" t="s">
        <v>399</v>
      </c>
      <c r="S22" t="s">
        <v>406</v>
      </c>
      <c r="T22">
        <v>0</v>
      </c>
      <c r="U22" t="s">
        <v>415</v>
      </c>
    </row>
    <row r="23" spans="1:21" x14ac:dyDescent="0.3">
      <c r="A23" t="s">
        <v>78</v>
      </c>
      <c r="B23" t="s">
        <v>13</v>
      </c>
      <c r="C23" t="s">
        <v>14</v>
      </c>
      <c r="D23">
        <v>2</v>
      </c>
      <c r="E23" t="s">
        <v>15</v>
      </c>
      <c r="F23" t="s">
        <v>16</v>
      </c>
      <c r="G23">
        <v>3613</v>
      </c>
      <c r="H23">
        <v>3539</v>
      </c>
      <c r="I23">
        <v>134</v>
      </c>
      <c r="J23">
        <v>180</v>
      </c>
      <c r="K23">
        <v>1</v>
      </c>
      <c r="L23" t="s">
        <v>26</v>
      </c>
      <c r="M23">
        <v>7152</v>
      </c>
      <c r="N23">
        <v>596</v>
      </c>
      <c r="O23" s="3">
        <v>1319.551007620295</v>
      </c>
      <c r="P23" s="3">
        <v>2.2140117577521727</v>
      </c>
      <c r="Q23" t="s">
        <v>395</v>
      </c>
      <c r="R23" t="s">
        <v>399</v>
      </c>
      <c r="S23" t="s">
        <v>404</v>
      </c>
      <c r="T23">
        <v>0</v>
      </c>
      <c r="U23" t="s">
        <v>416</v>
      </c>
    </row>
    <row r="24" spans="1:21" x14ac:dyDescent="0.3">
      <c r="A24" t="s">
        <v>79</v>
      </c>
      <c r="B24" t="s">
        <v>25</v>
      </c>
      <c r="C24" t="s">
        <v>14</v>
      </c>
      <c r="D24">
        <v>2</v>
      </c>
      <c r="E24" t="s">
        <v>15</v>
      </c>
      <c r="F24" t="s">
        <v>16</v>
      </c>
      <c r="G24">
        <v>2779</v>
      </c>
      <c r="H24">
        <v>3664</v>
      </c>
      <c r="I24">
        <v>176</v>
      </c>
      <c r="J24">
        <v>360</v>
      </c>
      <c r="K24">
        <v>0</v>
      </c>
      <c r="L24" t="s">
        <v>26</v>
      </c>
      <c r="M24">
        <v>6443</v>
      </c>
      <c r="N24">
        <v>536.91666666666663</v>
      </c>
      <c r="O24" s="3">
        <v>1353.2877311084274</v>
      </c>
      <c r="P24" s="3">
        <v>2.5204800206892952</v>
      </c>
      <c r="Q24" t="s">
        <v>394</v>
      </c>
      <c r="R24" t="s">
        <v>399</v>
      </c>
      <c r="S24" t="s">
        <v>404</v>
      </c>
      <c r="T24">
        <v>1</v>
      </c>
      <c r="U24" t="s">
        <v>416</v>
      </c>
    </row>
    <row r="25" spans="1:21" x14ac:dyDescent="0.3">
      <c r="A25" t="s">
        <v>82</v>
      </c>
      <c r="B25" t="s">
        <v>13</v>
      </c>
      <c r="C25" t="s">
        <v>14</v>
      </c>
      <c r="D25">
        <v>0</v>
      </c>
      <c r="E25" t="s">
        <v>15</v>
      </c>
      <c r="F25" t="s">
        <v>14</v>
      </c>
      <c r="G25">
        <v>7016</v>
      </c>
      <c r="H25">
        <v>292</v>
      </c>
      <c r="I25">
        <v>125</v>
      </c>
      <c r="J25">
        <v>360</v>
      </c>
      <c r="K25">
        <v>1</v>
      </c>
      <c r="L25" t="s">
        <v>17</v>
      </c>
      <c r="M25">
        <v>7308</v>
      </c>
      <c r="N25">
        <v>609</v>
      </c>
      <c r="O25" s="3">
        <v>961.14185448041712</v>
      </c>
      <c r="P25" s="3">
        <v>1.5782296461090592</v>
      </c>
      <c r="Q25" t="s">
        <v>395</v>
      </c>
      <c r="R25" t="s">
        <v>399</v>
      </c>
      <c r="S25" t="s">
        <v>404</v>
      </c>
      <c r="T25">
        <v>0</v>
      </c>
      <c r="U25" t="s">
        <v>415</v>
      </c>
    </row>
    <row r="26" spans="1:21" x14ac:dyDescent="0.3">
      <c r="A26" t="s">
        <v>86</v>
      </c>
      <c r="B26" t="s">
        <v>13</v>
      </c>
      <c r="C26" t="s">
        <v>14</v>
      </c>
      <c r="D26">
        <v>0</v>
      </c>
      <c r="E26" t="s">
        <v>15</v>
      </c>
      <c r="F26" t="s">
        <v>16</v>
      </c>
      <c r="G26">
        <v>2917</v>
      </c>
      <c r="H26">
        <v>3583</v>
      </c>
      <c r="I26">
        <v>138</v>
      </c>
      <c r="J26">
        <v>360</v>
      </c>
      <c r="K26">
        <v>1</v>
      </c>
      <c r="L26" t="s">
        <v>26</v>
      </c>
      <c r="M26">
        <v>6500</v>
      </c>
      <c r="N26">
        <v>541.66666666666663</v>
      </c>
      <c r="O26" s="3">
        <v>1061.1006073463805</v>
      </c>
      <c r="P26" s="3">
        <v>1.9589549674087026</v>
      </c>
      <c r="Q26" t="s">
        <v>395</v>
      </c>
      <c r="R26" t="s">
        <v>399</v>
      </c>
      <c r="S26" t="s">
        <v>404</v>
      </c>
      <c r="T26">
        <v>0</v>
      </c>
      <c r="U26" t="s">
        <v>416</v>
      </c>
    </row>
    <row r="27" spans="1:21" x14ac:dyDescent="0.3">
      <c r="A27" t="s">
        <v>89</v>
      </c>
      <c r="B27" t="s">
        <v>13</v>
      </c>
      <c r="C27" t="s">
        <v>14</v>
      </c>
      <c r="D27">
        <v>0</v>
      </c>
      <c r="E27" t="s">
        <v>15</v>
      </c>
      <c r="F27" t="s">
        <v>16</v>
      </c>
      <c r="G27">
        <v>7666</v>
      </c>
      <c r="H27">
        <v>0</v>
      </c>
      <c r="I27">
        <v>187</v>
      </c>
      <c r="J27">
        <v>360</v>
      </c>
      <c r="K27">
        <v>1</v>
      </c>
      <c r="L27" t="s">
        <v>26</v>
      </c>
      <c r="M27">
        <v>7666</v>
      </c>
      <c r="N27">
        <v>638.83333333333337</v>
      </c>
      <c r="O27" s="3">
        <v>1437.8682143027038</v>
      </c>
      <c r="P27" s="3">
        <v>2.2507720547394268</v>
      </c>
      <c r="Q27" t="s">
        <v>395</v>
      </c>
      <c r="R27" t="s">
        <v>399</v>
      </c>
      <c r="S27" t="s">
        <v>404</v>
      </c>
      <c r="T27">
        <v>0</v>
      </c>
      <c r="U27" t="s">
        <v>416</v>
      </c>
    </row>
    <row r="28" spans="1:21" x14ac:dyDescent="0.3">
      <c r="A28" t="s">
        <v>90</v>
      </c>
      <c r="B28" t="s">
        <v>13</v>
      </c>
      <c r="C28" t="s">
        <v>14</v>
      </c>
      <c r="D28">
        <v>0</v>
      </c>
      <c r="E28" t="s">
        <v>15</v>
      </c>
      <c r="F28" t="s">
        <v>16</v>
      </c>
      <c r="G28">
        <v>2458</v>
      </c>
      <c r="H28">
        <v>5105</v>
      </c>
      <c r="I28">
        <v>188</v>
      </c>
      <c r="J28">
        <v>360</v>
      </c>
      <c r="K28">
        <v>0</v>
      </c>
      <c r="L28" t="s">
        <v>28</v>
      </c>
      <c r="M28">
        <v>7563</v>
      </c>
      <c r="N28">
        <v>630.25</v>
      </c>
      <c r="O28" s="3">
        <v>1445.5573491385474</v>
      </c>
      <c r="P28" s="3">
        <v>2.2936253060508487</v>
      </c>
      <c r="Q28" t="s">
        <v>394</v>
      </c>
      <c r="R28" t="s">
        <v>399</v>
      </c>
      <c r="S28" t="s">
        <v>404</v>
      </c>
      <c r="T28">
        <v>1</v>
      </c>
      <c r="U28" t="s">
        <v>417</v>
      </c>
    </row>
    <row r="29" spans="1:21" x14ac:dyDescent="0.3">
      <c r="A29" t="s">
        <v>93</v>
      </c>
      <c r="B29" t="s">
        <v>13</v>
      </c>
      <c r="C29" t="s">
        <v>14</v>
      </c>
      <c r="D29">
        <v>1</v>
      </c>
      <c r="E29" t="s">
        <v>15</v>
      </c>
      <c r="F29" t="s">
        <v>16</v>
      </c>
      <c r="G29">
        <v>4083</v>
      </c>
      <c r="H29">
        <v>1775</v>
      </c>
      <c r="I29">
        <v>139</v>
      </c>
      <c r="J29">
        <v>60</v>
      </c>
      <c r="K29">
        <v>1</v>
      </c>
      <c r="L29" t="s">
        <v>17</v>
      </c>
      <c r="M29">
        <v>5858</v>
      </c>
      <c r="N29">
        <v>488.16666666666669</v>
      </c>
      <c r="O29" s="3">
        <v>2851.7978544601237</v>
      </c>
      <c r="P29" s="3">
        <v>5.8418528940801444</v>
      </c>
      <c r="Q29" t="s">
        <v>395</v>
      </c>
      <c r="R29" t="s">
        <v>399</v>
      </c>
      <c r="S29" t="s">
        <v>404</v>
      </c>
      <c r="T29">
        <v>0</v>
      </c>
      <c r="U29" t="s">
        <v>415</v>
      </c>
    </row>
    <row r="30" spans="1:21" x14ac:dyDescent="0.3">
      <c r="A30" t="s">
        <v>94</v>
      </c>
      <c r="B30" t="s">
        <v>13</v>
      </c>
      <c r="C30" t="s">
        <v>14</v>
      </c>
      <c r="D30">
        <v>0</v>
      </c>
      <c r="E30" t="s">
        <v>15</v>
      </c>
      <c r="F30" t="s">
        <v>14</v>
      </c>
      <c r="G30">
        <v>3900</v>
      </c>
      <c r="H30">
        <v>2094</v>
      </c>
      <c r="I30">
        <v>232</v>
      </c>
      <c r="J30">
        <v>360</v>
      </c>
      <c r="K30">
        <v>1</v>
      </c>
      <c r="L30" t="s">
        <v>28</v>
      </c>
      <c r="M30">
        <v>5994</v>
      </c>
      <c r="N30">
        <v>499.5</v>
      </c>
      <c r="O30" s="3">
        <v>1783.879281915654</v>
      </c>
      <c r="P30" s="3">
        <v>3.5713298937250331</v>
      </c>
      <c r="Q30" t="s">
        <v>395</v>
      </c>
      <c r="R30" t="s">
        <v>399</v>
      </c>
      <c r="S30" t="s">
        <v>405</v>
      </c>
      <c r="T30">
        <v>0</v>
      </c>
      <c r="U30" t="s">
        <v>417</v>
      </c>
    </row>
    <row r="31" spans="1:21" x14ac:dyDescent="0.3">
      <c r="A31" t="s">
        <v>95</v>
      </c>
      <c r="B31" t="s">
        <v>13</v>
      </c>
      <c r="C31" t="s">
        <v>14</v>
      </c>
      <c r="D31">
        <v>0</v>
      </c>
      <c r="E31" t="s">
        <v>22</v>
      </c>
      <c r="F31" t="s">
        <v>16</v>
      </c>
      <c r="G31">
        <v>4750</v>
      </c>
      <c r="H31">
        <v>3583</v>
      </c>
      <c r="I31">
        <v>144</v>
      </c>
      <c r="J31">
        <v>360</v>
      </c>
      <c r="K31">
        <v>1</v>
      </c>
      <c r="L31" t="s">
        <v>26</v>
      </c>
      <c r="M31">
        <v>8333</v>
      </c>
      <c r="N31">
        <v>694.41666666666663</v>
      </c>
      <c r="O31" s="3">
        <v>1107.2354163614405</v>
      </c>
      <c r="P31" s="3">
        <v>1.5944827788716291</v>
      </c>
      <c r="Q31" t="s">
        <v>395</v>
      </c>
      <c r="R31" t="s">
        <v>399</v>
      </c>
      <c r="S31" t="s">
        <v>404</v>
      </c>
      <c r="T31">
        <v>0</v>
      </c>
      <c r="U31" t="s">
        <v>416</v>
      </c>
    </row>
    <row r="32" spans="1:21" x14ac:dyDescent="0.3">
      <c r="A32" t="s">
        <v>96</v>
      </c>
      <c r="B32" t="s">
        <v>13</v>
      </c>
      <c r="C32" t="s">
        <v>16</v>
      </c>
      <c r="D32">
        <v>0</v>
      </c>
      <c r="E32" t="s">
        <v>15</v>
      </c>
      <c r="F32" t="s">
        <v>16</v>
      </c>
      <c r="G32">
        <v>3583</v>
      </c>
      <c r="H32">
        <v>3435</v>
      </c>
      <c r="I32">
        <v>155</v>
      </c>
      <c r="J32">
        <v>360</v>
      </c>
      <c r="K32">
        <v>1</v>
      </c>
      <c r="L32" t="s">
        <v>17</v>
      </c>
      <c r="M32">
        <v>7018</v>
      </c>
      <c r="N32">
        <v>584.83333333333337</v>
      </c>
      <c r="O32" s="3">
        <v>1191.8158995557171</v>
      </c>
      <c r="P32" s="3">
        <v>2.037872726513053</v>
      </c>
      <c r="Q32" t="s">
        <v>395</v>
      </c>
      <c r="R32" t="s">
        <v>399</v>
      </c>
      <c r="S32" t="s">
        <v>404</v>
      </c>
      <c r="T32">
        <v>0</v>
      </c>
      <c r="U32" t="s">
        <v>415</v>
      </c>
    </row>
    <row r="33" spans="1:21" x14ac:dyDescent="0.3">
      <c r="A33" t="s">
        <v>97</v>
      </c>
      <c r="B33" t="s">
        <v>13</v>
      </c>
      <c r="C33" t="s">
        <v>14</v>
      </c>
      <c r="D33">
        <v>0</v>
      </c>
      <c r="E33" t="s">
        <v>15</v>
      </c>
      <c r="F33" t="s">
        <v>16</v>
      </c>
      <c r="G33">
        <v>3189</v>
      </c>
      <c r="H33">
        <v>2367</v>
      </c>
      <c r="I33">
        <v>186</v>
      </c>
      <c r="J33">
        <v>360</v>
      </c>
      <c r="K33">
        <v>1</v>
      </c>
      <c r="L33" t="s">
        <v>17</v>
      </c>
      <c r="M33">
        <v>5556</v>
      </c>
      <c r="N33">
        <v>463</v>
      </c>
      <c r="O33" s="3">
        <v>1430.1790794668605</v>
      </c>
      <c r="P33" s="3">
        <v>3.0889396964727007</v>
      </c>
      <c r="Q33" t="s">
        <v>395</v>
      </c>
      <c r="R33" t="s">
        <v>399</v>
      </c>
      <c r="S33" t="s">
        <v>404</v>
      </c>
      <c r="T33">
        <v>0</v>
      </c>
      <c r="U33" t="s">
        <v>415</v>
      </c>
    </row>
    <row r="34" spans="1:21" x14ac:dyDescent="0.3">
      <c r="A34" t="s">
        <v>98</v>
      </c>
      <c r="B34" t="s">
        <v>13</v>
      </c>
      <c r="C34" t="s">
        <v>16</v>
      </c>
      <c r="D34">
        <v>0</v>
      </c>
      <c r="E34" t="s">
        <v>15</v>
      </c>
      <c r="F34" t="s">
        <v>14</v>
      </c>
      <c r="G34">
        <v>6356</v>
      </c>
      <c r="H34">
        <v>0</v>
      </c>
      <c r="I34">
        <v>50</v>
      </c>
      <c r="J34">
        <v>360</v>
      </c>
      <c r="K34">
        <v>1</v>
      </c>
      <c r="L34" t="s">
        <v>28</v>
      </c>
      <c r="M34">
        <v>6356</v>
      </c>
      <c r="N34">
        <v>529.66666666666663</v>
      </c>
      <c r="O34" s="3">
        <v>384.45674179216684</v>
      </c>
      <c r="P34" s="3">
        <v>0.72584658614002551</v>
      </c>
      <c r="Q34" t="s">
        <v>395</v>
      </c>
      <c r="R34" t="s">
        <v>399</v>
      </c>
      <c r="S34" t="s">
        <v>406</v>
      </c>
      <c r="T34">
        <v>0</v>
      </c>
      <c r="U34" t="s">
        <v>417</v>
      </c>
    </row>
    <row r="35" spans="1:21" x14ac:dyDescent="0.3">
      <c r="A35" t="s">
        <v>99</v>
      </c>
      <c r="B35" t="s">
        <v>13</v>
      </c>
      <c r="C35" t="s">
        <v>14</v>
      </c>
      <c r="D35">
        <v>1</v>
      </c>
      <c r="E35" t="s">
        <v>15</v>
      </c>
      <c r="F35" t="s">
        <v>16</v>
      </c>
      <c r="G35">
        <v>3413</v>
      </c>
      <c r="H35">
        <v>4053</v>
      </c>
      <c r="I35">
        <v>125</v>
      </c>
      <c r="J35">
        <v>360</v>
      </c>
      <c r="K35">
        <v>1</v>
      </c>
      <c r="L35" t="s">
        <v>26</v>
      </c>
      <c r="M35">
        <v>7466</v>
      </c>
      <c r="N35">
        <v>622.16666666666663</v>
      </c>
      <c r="O35" s="3">
        <v>961.14185448041712</v>
      </c>
      <c r="P35" s="3">
        <v>1.5448301973968666</v>
      </c>
      <c r="Q35" t="s">
        <v>395</v>
      </c>
      <c r="R35" t="s">
        <v>399</v>
      </c>
      <c r="S35" t="s">
        <v>404</v>
      </c>
      <c r="T35">
        <v>0</v>
      </c>
      <c r="U35" t="s">
        <v>416</v>
      </c>
    </row>
    <row r="36" spans="1:21" x14ac:dyDescent="0.3">
      <c r="A36" t="s">
        <v>100</v>
      </c>
      <c r="B36" t="s">
        <v>25</v>
      </c>
      <c r="C36" t="s">
        <v>14</v>
      </c>
      <c r="D36">
        <v>0</v>
      </c>
      <c r="E36" t="s">
        <v>15</v>
      </c>
      <c r="F36" t="s">
        <v>16</v>
      </c>
      <c r="G36">
        <v>7950</v>
      </c>
      <c r="H36">
        <v>0</v>
      </c>
      <c r="I36">
        <v>185</v>
      </c>
      <c r="J36">
        <v>360</v>
      </c>
      <c r="K36">
        <v>1</v>
      </c>
      <c r="L36" t="s">
        <v>17</v>
      </c>
      <c r="M36">
        <v>7950</v>
      </c>
      <c r="N36">
        <v>662.5</v>
      </c>
      <c r="O36" s="3">
        <v>1422.4899446310171</v>
      </c>
      <c r="P36" s="3">
        <v>2.1471546334053087</v>
      </c>
      <c r="Q36" t="s">
        <v>395</v>
      </c>
      <c r="R36" t="s">
        <v>399</v>
      </c>
      <c r="S36" t="s">
        <v>404</v>
      </c>
      <c r="T36">
        <v>0</v>
      </c>
      <c r="U36" t="s">
        <v>415</v>
      </c>
    </row>
    <row r="37" spans="1:21" x14ac:dyDescent="0.3">
      <c r="A37" t="s">
        <v>104</v>
      </c>
      <c r="B37" t="s">
        <v>13</v>
      </c>
      <c r="C37" t="s">
        <v>14</v>
      </c>
      <c r="D37">
        <v>0</v>
      </c>
      <c r="E37" t="s">
        <v>15</v>
      </c>
      <c r="F37" t="s">
        <v>16</v>
      </c>
      <c r="G37">
        <v>8449</v>
      </c>
      <c r="H37">
        <v>0</v>
      </c>
      <c r="I37">
        <v>257</v>
      </c>
      <c r="J37">
        <v>360</v>
      </c>
      <c r="K37">
        <v>1</v>
      </c>
      <c r="L37" t="s">
        <v>28</v>
      </c>
      <c r="M37">
        <v>8449</v>
      </c>
      <c r="N37">
        <v>704.08333333333337</v>
      </c>
      <c r="O37" s="3">
        <v>1976.1076528117376</v>
      </c>
      <c r="P37" s="3">
        <v>2.8066388724986213</v>
      </c>
      <c r="Q37" t="s">
        <v>395</v>
      </c>
      <c r="R37" t="s">
        <v>399</v>
      </c>
      <c r="S37" t="s">
        <v>405</v>
      </c>
      <c r="T37">
        <v>0</v>
      </c>
      <c r="U37" t="s">
        <v>417</v>
      </c>
    </row>
    <row r="38" spans="1:21" x14ac:dyDescent="0.3">
      <c r="A38" t="s">
        <v>107</v>
      </c>
      <c r="B38" t="s">
        <v>13</v>
      </c>
      <c r="C38" t="s">
        <v>14</v>
      </c>
      <c r="D38">
        <v>0</v>
      </c>
      <c r="E38" t="s">
        <v>15</v>
      </c>
      <c r="F38" t="s">
        <v>16</v>
      </c>
      <c r="G38">
        <v>3571</v>
      </c>
      <c r="H38">
        <v>1917</v>
      </c>
      <c r="I38">
        <v>135</v>
      </c>
      <c r="J38">
        <v>360</v>
      </c>
      <c r="K38">
        <v>1</v>
      </c>
      <c r="L38" t="s">
        <v>17</v>
      </c>
      <c r="M38">
        <v>5488</v>
      </c>
      <c r="N38">
        <v>457.33333333333331</v>
      </c>
      <c r="O38" s="3">
        <v>1038.0332028388502</v>
      </c>
      <c r="P38" s="3">
        <v>2.2697519012511305</v>
      </c>
      <c r="Q38" t="s">
        <v>395</v>
      </c>
      <c r="R38" t="s">
        <v>399</v>
      </c>
      <c r="S38" t="s">
        <v>404</v>
      </c>
      <c r="T38">
        <v>0</v>
      </c>
      <c r="U38" t="s">
        <v>415</v>
      </c>
    </row>
    <row r="39" spans="1:21" x14ac:dyDescent="0.3">
      <c r="A39" t="s">
        <v>109</v>
      </c>
      <c r="B39" t="s">
        <v>13</v>
      </c>
      <c r="C39" t="s">
        <v>16</v>
      </c>
      <c r="D39">
        <v>2</v>
      </c>
      <c r="E39" t="s">
        <v>22</v>
      </c>
      <c r="F39" t="s">
        <v>16</v>
      </c>
      <c r="G39">
        <v>3235</v>
      </c>
      <c r="H39">
        <v>2015</v>
      </c>
      <c r="I39">
        <v>77</v>
      </c>
      <c r="J39">
        <v>360</v>
      </c>
      <c r="K39">
        <v>1</v>
      </c>
      <c r="L39" t="s">
        <v>26</v>
      </c>
      <c r="M39">
        <v>5250</v>
      </c>
      <c r="N39">
        <v>437.5</v>
      </c>
      <c r="O39" s="3">
        <v>592.0633823599369</v>
      </c>
      <c r="P39" s="3">
        <v>1.3532877311084273</v>
      </c>
      <c r="Q39" t="s">
        <v>395</v>
      </c>
      <c r="R39" t="s">
        <v>399</v>
      </c>
      <c r="S39" t="s">
        <v>406</v>
      </c>
      <c r="T39">
        <v>0</v>
      </c>
      <c r="U39" t="s">
        <v>416</v>
      </c>
    </row>
    <row r="40" spans="1:21" x14ac:dyDescent="0.3">
      <c r="A40" t="s">
        <v>110</v>
      </c>
      <c r="B40" t="s">
        <v>25</v>
      </c>
      <c r="C40" t="s">
        <v>16</v>
      </c>
      <c r="D40">
        <v>0</v>
      </c>
      <c r="E40" t="s">
        <v>15</v>
      </c>
      <c r="F40" t="s">
        <v>16</v>
      </c>
      <c r="G40">
        <v>5058</v>
      </c>
      <c r="H40">
        <v>0</v>
      </c>
      <c r="I40">
        <v>200</v>
      </c>
      <c r="J40">
        <v>360</v>
      </c>
      <c r="K40">
        <v>1</v>
      </c>
      <c r="L40" t="s">
        <v>28</v>
      </c>
      <c r="M40">
        <v>5058</v>
      </c>
      <c r="N40">
        <v>421.5</v>
      </c>
      <c r="O40" s="3">
        <v>1537.8269671686674</v>
      </c>
      <c r="P40" s="3">
        <v>3.6484625555603021</v>
      </c>
      <c r="Q40" t="s">
        <v>395</v>
      </c>
      <c r="R40" t="s">
        <v>399</v>
      </c>
      <c r="S40" t="s">
        <v>405</v>
      </c>
      <c r="T40">
        <v>0</v>
      </c>
      <c r="U40" t="s">
        <v>417</v>
      </c>
    </row>
    <row r="41" spans="1:21" x14ac:dyDescent="0.3">
      <c r="A41" t="s">
        <v>111</v>
      </c>
      <c r="B41" t="s">
        <v>13</v>
      </c>
      <c r="C41" t="s">
        <v>14</v>
      </c>
      <c r="D41">
        <v>0</v>
      </c>
      <c r="E41" t="s">
        <v>15</v>
      </c>
      <c r="F41" t="s">
        <v>14</v>
      </c>
      <c r="G41">
        <v>3188</v>
      </c>
      <c r="H41">
        <v>2286</v>
      </c>
      <c r="I41">
        <v>130</v>
      </c>
      <c r="J41">
        <v>360</v>
      </c>
      <c r="K41">
        <v>0</v>
      </c>
      <c r="L41" t="s">
        <v>28</v>
      </c>
      <c r="M41">
        <v>5474</v>
      </c>
      <c r="N41">
        <v>456.16666666666669</v>
      </c>
      <c r="O41" s="3">
        <v>999.58752865963379</v>
      </c>
      <c r="P41" s="3">
        <v>2.191277008387944</v>
      </c>
      <c r="Q41" t="s">
        <v>394</v>
      </c>
      <c r="R41" t="s">
        <v>399</v>
      </c>
      <c r="S41" t="s">
        <v>404</v>
      </c>
      <c r="T41">
        <v>1</v>
      </c>
      <c r="U41" t="s">
        <v>417</v>
      </c>
    </row>
    <row r="42" spans="1:21" x14ac:dyDescent="0.3">
      <c r="A42" t="s">
        <v>113</v>
      </c>
      <c r="B42" t="s">
        <v>13</v>
      </c>
      <c r="C42" t="s">
        <v>14</v>
      </c>
      <c r="D42">
        <v>1</v>
      </c>
      <c r="E42" t="s">
        <v>15</v>
      </c>
      <c r="F42" t="s">
        <v>16</v>
      </c>
      <c r="G42">
        <v>4364</v>
      </c>
      <c r="H42">
        <v>2500</v>
      </c>
      <c r="I42">
        <v>185</v>
      </c>
      <c r="J42">
        <v>360</v>
      </c>
      <c r="K42">
        <v>1</v>
      </c>
      <c r="L42" t="s">
        <v>26</v>
      </c>
      <c r="M42">
        <v>6864</v>
      </c>
      <c r="N42">
        <v>572</v>
      </c>
      <c r="O42" s="3">
        <v>1422.4899446310171</v>
      </c>
      <c r="P42" s="3">
        <v>2.4868705325717082</v>
      </c>
      <c r="Q42" t="s">
        <v>395</v>
      </c>
      <c r="R42" t="s">
        <v>399</v>
      </c>
      <c r="S42" t="s">
        <v>404</v>
      </c>
      <c r="T42">
        <v>0</v>
      </c>
      <c r="U42" t="s">
        <v>416</v>
      </c>
    </row>
    <row r="43" spans="1:21" x14ac:dyDescent="0.3">
      <c r="A43" t="s">
        <v>114</v>
      </c>
      <c r="B43" t="s">
        <v>13</v>
      </c>
      <c r="C43" t="s">
        <v>14</v>
      </c>
      <c r="D43">
        <v>2</v>
      </c>
      <c r="E43" t="s">
        <v>22</v>
      </c>
      <c r="F43" t="s">
        <v>16</v>
      </c>
      <c r="G43">
        <v>4766</v>
      </c>
      <c r="H43">
        <v>1646</v>
      </c>
      <c r="I43">
        <v>100</v>
      </c>
      <c r="J43">
        <v>360</v>
      </c>
      <c r="K43">
        <v>1</v>
      </c>
      <c r="L43" t="s">
        <v>26</v>
      </c>
      <c r="M43">
        <v>6412</v>
      </c>
      <c r="N43">
        <v>534.33333333333337</v>
      </c>
      <c r="O43" s="3">
        <v>768.91348358433368</v>
      </c>
      <c r="P43" s="3">
        <v>1.4390146292907056</v>
      </c>
      <c r="Q43" t="s">
        <v>395</v>
      </c>
      <c r="R43" t="s">
        <v>399</v>
      </c>
      <c r="S43" t="s">
        <v>404</v>
      </c>
      <c r="T43">
        <v>0</v>
      </c>
      <c r="U43" t="s">
        <v>416</v>
      </c>
    </row>
    <row r="44" spans="1:21" x14ac:dyDescent="0.3">
      <c r="A44" t="s">
        <v>115</v>
      </c>
      <c r="B44" t="s">
        <v>13</v>
      </c>
      <c r="C44" t="s">
        <v>14</v>
      </c>
      <c r="D44">
        <v>1</v>
      </c>
      <c r="E44" t="s">
        <v>15</v>
      </c>
      <c r="F44" t="s">
        <v>16</v>
      </c>
      <c r="G44">
        <v>4609</v>
      </c>
      <c r="H44">
        <v>2333</v>
      </c>
      <c r="I44">
        <v>123</v>
      </c>
      <c r="J44">
        <v>360</v>
      </c>
      <c r="K44">
        <v>0</v>
      </c>
      <c r="L44" t="s">
        <v>26</v>
      </c>
      <c r="M44">
        <v>6942</v>
      </c>
      <c r="N44">
        <v>578.5</v>
      </c>
      <c r="O44" s="3">
        <v>945.76358480873034</v>
      </c>
      <c r="P44" s="3">
        <v>1.6348549434895943</v>
      </c>
      <c r="Q44" t="s">
        <v>394</v>
      </c>
      <c r="R44" t="s">
        <v>399</v>
      </c>
      <c r="S44" t="s">
        <v>404</v>
      </c>
      <c r="T44">
        <v>1</v>
      </c>
      <c r="U44" t="s">
        <v>416</v>
      </c>
    </row>
    <row r="45" spans="1:21" x14ac:dyDescent="0.3">
      <c r="A45" t="s">
        <v>116</v>
      </c>
      <c r="B45" t="s">
        <v>25</v>
      </c>
      <c r="C45" t="s">
        <v>14</v>
      </c>
      <c r="D45">
        <v>3</v>
      </c>
      <c r="E45" t="s">
        <v>15</v>
      </c>
      <c r="F45" t="s">
        <v>16</v>
      </c>
      <c r="G45">
        <v>6260</v>
      </c>
      <c r="H45">
        <v>0</v>
      </c>
      <c r="I45">
        <v>110</v>
      </c>
      <c r="J45">
        <v>360</v>
      </c>
      <c r="K45">
        <v>1</v>
      </c>
      <c r="L45" t="s">
        <v>26</v>
      </c>
      <c r="M45">
        <v>6260</v>
      </c>
      <c r="N45">
        <v>521.66666666666663</v>
      </c>
      <c r="O45" s="3">
        <v>845.80483194276701</v>
      </c>
      <c r="P45" s="3">
        <v>1.6213511155452405</v>
      </c>
      <c r="Q45" t="s">
        <v>395</v>
      </c>
      <c r="R45" t="s">
        <v>399</v>
      </c>
      <c r="S45" t="s">
        <v>404</v>
      </c>
      <c r="T45">
        <v>0</v>
      </c>
      <c r="U45" t="s">
        <v>416</v>
      </c>
    </row>
    <row r="46" spans="1:21" x14ac:dyDescent="0.3">
      <c r="A46" t="s">
        <v>117</v>
      </c>
      <c r="B46" t="s">
        <v>13</v>
      </c>
      <c r="C46" t="s">
        <v>14</v>
      </c>
      <c r="D46">
        <v>1</v>
      </c>
      <c r="E46" t="s">
        <v>15</v>
      </c>
      <c r="F46" t="s">
        <v>16</v>
      </c>
      <c r="G46">
        <v>3333</v>
      </c>
      <c r="H46">
        <v>4200</v>
      </c>
      <c r="I46">
        <v>256</v>
      </c>
      <c r="J46">
        <v>360</v>
      </c>
      <c r="K46">
        <v>1</v>
      </c>
      <c r="L46" t="s">
        <v>17</v>
      </c>
      <c r="M46">
        <v>7533</v>
      </c>
      <c r="N46">
        <v>627.75</v>
      </c>
      <c r="O46" s="3">
        <v>1968.418517975894</v>
      </c>
      <c r="P46" s="3">
        <v>3.1356726690177523</v>
      </c>
      <c r="Q46" t="s">
        <v>395</v>
      </c>
      <c r="R46" t="s">
        <v>399</v>
      </c>
      <c r="S46" t="s">
        <v>405</v>
      </c>
      <c r="T46">
        <v>0</v>
      </c>
      <c r="U46" t="s">
        <v>415</v>
      </c>
    </row>
    <row r="47" spans="1:21" x14ac:dyDescent="0.3">
      <c r="A47" t="s">
        <v>118</v>
      </c>
      <c r="B47" t="s">
        <v>13</v>
      </c>
      <c r="C47" t="s">
        <v>14</v>
      </c>
      <c r="D47">
        <v>0</v>
      </c>
      <c r="E47" t="s">
        <v>15</v>
      </c>
      <c r="F47" t="s">
        <v>16</v>
      </c>
      <c r="G47">
        <v>3500</v>
      </c>
      <c r="H47">
        <v>3250</v>
      </c>
      <c r="I47">
        <v>140</v>
      </c>
      <c r="J47">
        <v>360</v>
      </c>
      <c r="K47">
        <v>1</v>
      </c>
      <c r="L47" t="s">
        <v>26</v>
      </c>
      <c r="M47">
        <v>6750</v>
      </c>
      <c r="N47">
        <v>562.5</v>
      </c>
      <c r="O47" s="3">
        <v>1076.4788770180671</v>
      </c>
      <c r="P47" s="3">
        <v>1.913740225809897</v>
      </c>
      <c r="Q47" t="s">
        <v>395</v>
      </c>
      <c r="R47" t="s">
        <v>399</v>
      </c>
      <c r="S47" t="s">
        <v>404</v>
      </c>
      <c r="T47">
        <v>0</v>
      </c>
      <c r="U47" t="s">
        <v>416</v>
      </c>
    </row>
    <row r="48" spans="1:21" x14ac:dyDescent="0.3">
      <c r="A48" t="s">
        <v>119</v>
      </c>
      <c r="B48" t="s">
        <v>13</v>
      </c>
      <c r="C48" t="s">
        <v>14</v>
      </c>
      <c r="D48">
        <v>3</v>
      </c>
      <c r="E48" t="s">
        <v>15</v>
      </c>
      <c r="F48" t="s">
        <v>16</v>
      </c>
      <c r="G48">
        <v>9719</v>
      </c>
      <c r="H48">
        <v>0</v>
      </c>
      <c r="I48">
        <v>61</v>
      </c>
      <c r="J48">
        <v>360</v>
      </c>
      <c r="K48">
        <v>1</v>
      </c>
      <c r="L48" t="s">
        <v>17</v>
      </c>
      <c r="M48">
        <v>9719</v>
      </c>
      <c r="N48">
        <v>809.91666666666663</v>
      </c>
      <c r="O48" s="3">
        <v>469.0372249864435</v>
      </c>
      <c r="P48" s="3">
        <v>0.57911788248146134</v>
      </c>
      <c r="Q48" t="s">
        <v>395</v>
      </c>
      <c r="R48" t="s">
        <v>399</v>
      </c>
      <c r="S48" t="s">
        <v>406</v>
      </c>
      <c r="T48">
        <v>0</v>
      </c>
      <c r="U48" t="s">
        <v>415</v>
      </c>
    </row>
    <row r="49" spans="1:21" x14ac:dyDescent="0.3">
      <c r="A49" t="s">
        <v>120</v>
      </c>
      <c r="B49" t="s">
        <v>13</v>
      </c>
      <c r="C49" t="s">
        <v>14</v>
      </c>
      <c r="D49">
        <v>3</v>
      </c>
      <c r="E49" t="s">
        <v>15</v>
      </c>
      <c r="F49" t="s">
        <v>16</v>
      </c>
      <c r="G49">
        <v>6835</v>
      </c>
      <c r="H49">
        <v>0</v>
      </c>
      <c r="I49">
        <v>188</v>
      </c>
      <c r="J49">
        <v>360</v>
      </c>
      <c r="K49">
        <v>0</v>
      </c>
      <c r="L49" t="s">
        <v>26</v>
      </c>
      <c r="M49">
        <v>6835</v>
      </c>
      <c r="N49">
        <v>569.58333333333337</v>
      </c>
      <c r="O49" s="3">
        <v>1445.5573491385474</v>
      </c>
      <c r="P49" s="3">
        <v>2.5379207300164692</v>
      </c>
      <c r="Q49" t="s">
        <v>394</v>
      </c>
      <c r="R49" t="s">
        <v>399</v>
      </c>
      <c r="S49" t="s">
        <v>404</v>
      </c>
      <c r="T49">
        <v>1</v>
      </c>
      <c r="U49" t="s">
        <v>416</v>
      </c>
    </row>
    <row r="50" spans="1:21" x14ac:dyDescent="0.3">
      <c r="A50" t="s">
        <v>130</v>
      </c>
      <c r="B50" t="s">
        <v>13</v>
      </c>
      <c r="C50" t="s">
        <v>14</v>
      </c>
      <c r="D50">
        <v>0</v>
      </c>
      <c r="E50" t="s">
        <v>22</v>
      </c>
      <c r="F50" t="s">
        <v>16</v>
      </c>
      <c r="G50">
        <v>4523</v>
      </c>
      <c r="H50">
        <v>1350</v>
      </c>
      <c r="I50">
        <v>165</v>
      </c>
      <c r="J50">
        <v>360</v>
      </c>
      <c r="K50">
        <v>1</v>
      </c>
      <c r="L50" t="s">
        <v>17</v>
      </c>
      <c r="M50">
        <v>5873</v>
      </c>
      <c r="N50">
        <v>489.41666666666669</v>
      </c>
      <c r="O50" s="3">
        <v>1268.7072479141505</v>
      </c>
      <c r="P50" s="3">
        <v>2.5922845181286913</v>
      </c>
      <c r="Q50" t="s">
        <v>395</v>
      </c>
      <c r="R50" t="s">
        <v>399</v>
      </c>
      <c r="S50" t="s">
        <v>404</v>
      </c>
      <c r="T50">
        <v>0</v>
      </c>
      <c r="U50" t="s">
        <v>415</v>
      </c>
    </row>
    <row r="51" spans="1:21" x14ac:dyDescent="0.3">
      <c r="A51" t="s">
        <v>134</v>
      </c>
      <c r="B51" t="s">
        <v>25</v>
      </c>
      <c r="C51" t="s">
        <v>14</v>
      </c>
      <c r="D51">
        <v>2</v>
      </c>
      <c r="E51" t="s">
        <v>15</v>
      </c>
      <c r="F51" t="s">
        <v>16</v>
      </c>
      <c r="G51">
        <v>2922</v>
      </c>
      <c r="H51">
        <v>3396</v>
      </c>
      <c r="I51">
        <v>122</v>
      </c>
      <c r="J51">
        <v>360</v>
      </c>
      <c r="K51">
        <v>1</v>
      </c>
      <c r="L51" t="s">
        <v>26</v>
      </c>
      <c r="M51">
        <v>6318</v>
      </c>
      <c r="N51">
        <v>526.5</v>
      </c>
      <c r="O51" s="3">
        <v>938.07444997288701</v>
      </c>
      <c r="P51" s="3">
        <v>1.7817178536996905</v>
      </c>
      <c r="Q51" t="s">
        <v>395</v>
      </c>
      <c r="R51" t="s">
        <v>399</v>
      </c>
      <c r="S51" t="s">
        <v>404</v>
      </c>
      <c r="T51">
        <v>0</v>
      </c>
      <c r="U51" t="s">
        <v>416</v>
      </c>
    </row>
    <row r="52" spans="1:21" x14ac:dyDescent="0.3">
      <c r="A52" t="s">
        <v>135</v>
      </c>
      <c r="B52" t="s">
        <v>13</v>
      </c>
      <c r="C52" t="s">
        <v>14</v>
      </c>
      <c r="D52">
        <v>0</v>
      </c>
      <c r="E52" t="s">
        <v>15</v>
      </c>
      <c r="F52" t="s">
        <v>16</v>
      </c>
      <c r="G52">
        <v>4167</v>
      </c>
      <c r="H52">
        <v>4754</v>
      </c>
      <c r="I52">
        <v>160</v>
      </c>
      <c r="J52">
        <v>360</v>
      </c>
      <c r="K52">
        <v>1</v>
      </c>
      <c r="L52" t="s">
        <v>28</v>
      </c>
      <c r="M52">
        <v>8921</v>
      </c>
      <c r="N52">
        <v>743.41666666666663</v>
      </c>
      <c r="O52" s="3">
        <v>1230.2615737349338</v>
      </c>
      <c r="P52" s="3">
        <v>1.654874889005628</v>
      </c>
      <c r="Q52" t="s">
        <v>395</v>
      </c>
      <c r="R52" t="s">
        <v>399</v>
      </c>
      <c r="S52" t="s">
        <v>404</v>
      </c>
      <c r="T52">
        <v>0</v>
      </c>
      <c r="U52" t="s">
        <v>417</v>
      </c>
    </row>
    <row r="53" spans="1:21" x14ac:dyDescent="0.3">
      <c r="A53" t="s">
        <v>136</v>
      </c>
      <c r="B53" t="s">
        <v>13</v>
      </c>
      <c r="C53" t="s">
        <v>16</v>
      </c>
      <c r="D53">
        <v>3</v>
      </c>
      <c r="E53" t="s">
        <v>15</v>
      </c>
      <c r="F53" t="s">
        <v>16</v>
      </c>
      <c r="G53">
        <v>4243</v>
      </c>
      <c r="H53">
        <v>4123</v>
      </c>
      <c r="I53">
        <v>157</v>
      </c>
      <c r="J53">
        <v>360</v>
      </c>
      <c r="K53">
        <v>0</v>
      </c>
      <c r="L53" t="s">
        <v>26</v>
      </c>
      <c r="M53">
        <v>8366</v>
      </c>
      <c r="N53">
        <v>697.16666666666663</v>
      </c>
      <c r="O53" s="3">
        <v>1207.1941692274038</v>
      </c>
      <c r="P53" s="3">
        <v>1.7315718420665607</v>
      </c>
      <c r="Q53" t="s">
        <v>394</v>
      </c>
      <c r="R53" t="s">
        <v>399</v>
      </c>
      <c r="S53" t="s">
        <v>404</v>
      </c>
      <c r="T53">
        <v>1</v>
      </c>
      <c r="U53" t="s">
        <v>416</v>
      </c>
    </row>
    <row r="54" spans="1:21" x14ac:dyDescent="0.3">
      <c r="A54" t="s">
        <v>142</v>
      </c>
      <c r="B54" t="s">
        <v>13</v>
      </c>
      <c r="C54" t="s">
        <v>14</v>
      </c>
      <c r="D54">
        <v>0</v>
      </c>
      <c r="E54" t="s">
        <v>15</v>
      </c>
      <c r="F54" t="s">
        <v>16</v>
      </c>
      <c r="G54">
        <v>2333</v>
      </c>
      <c r="H54">
        <v>3803</v>
      </c>
      <c r="I54">
        <v>146</v>
      </c>
      <c r="J54">
        <v>360</v>
      </c>
      <c r="K54">
        <v>1</v>
      </c>
      <c r="L54" t="s">
        <v>28</v>
      </c>
      <c r="M54">
        <v>6136</v>
      </c>
      <c r="N54">
        <v>511.33333333333331</v>
      </c>
      <c r="O54" s="3">
        <v>1122.6136860331271</v>
      </c>
      <c r="P54" s="3">
        <v>2.1954635320074196</v>
      </c>
      <c r="Q54" t="s">
        <v>395</v>
      </c>
      <c r="R54" t="s">
        <v>399</v>
      </c>
      <c r="S54" t="s">
        <v>404</v>
      </c>
      <c r="T54">
        <v>0</v>
      </c>
      <c r="U54" t="s">
        <v>417</v>
      </c>
    </row>
    <row r="55" spans="1:21" x14ac:dyDescent="0.3">
      <c r="A55" t="s">
        <v>144</v>
      </c>
      <c r="B55" t="s">
        <v>13</v>
      </c>
      <c r="C55" t="s">
        <v>16</v>
      </c>
      <c r="D55">
        <v>0</v>
      </c>
      <c r="E55" t="s">
        <v>15</v>
      </c>
      <c r="F55" t="s">
        <v>16</v>
      </c>
      <c r="G55">
        <v>2500</v>
      </c>
      <c r="H55">
        <v>6414</v>
      </c>
      <c r="I55">
        <v>187</v>
      </c>
      <c r="J55">
        <v>360</v>
      </c>
      <c r="K55">
        <v>0</v>
      </c>
      <c r="L55" t="s">
        <v>28</v>
      </c>
      <c r="M55">
        <v>8914</v>
      </c>
      <c r="N55">
        <v>742.83333333333337</v>
      </c>
      <c r="O55" s="3">
        <v>1437.8682143027038</v>
      </c>
      <c r="P55" s="3">
        <v>1.9356538671339965</v>
      </c>
      <c r="Q55" t="s">
        <v>394</v>
      </c>
      <c r="R55" t="s">
        <v>399</v>
      </c>
      <c r="S55" t="s">
        <v>404</v>
      </c>
      <c r="T55">
        <v>1</v>
      </c>
      <c r="U55" t="s">
        <v>417</v>
      </c>
    </row>
    <row r="56" spans="1:21" x14ac:dyDescent="0.3">
      <c r="A56" t="s">
        <v>147</v>
      </c>
      <c r="B56" t="s">
        <v>13</v>
      </c>
      <c r="C56" t="s">
        <v>16</v>
      </c>
      <c r="D56">
        <v>0</v>
      </c>
      <c r="E56" t="s">
        <v>15</v>
      </c>
      <c r="F56" t="s">
        <v>16</v>
      </c>
      <c r="G56">
        <v>6500</v>
      </c>
      <c r="H56">
        <v>0</v>
      </c>
      <c r="I56">
        <v>71</v>
      </c>
      <c r="J56">
        <v>360</v>
      </c>
      <c r="K56">
        <v>0</v>
      </c>
      <c r="L56" t="s">
        <v>17</v>
      </c>
      <c r="M56">
        <v>6500</v>
      </c>
      <c r="N56">
        <v>541.66666666666663</v>
      </c>
      <c r="O56" s="3">
        <v>545.9285733448769</v>
      </c>
      <c r="P56" s="3">
        <v>1.0078681354059267</v>
      </c>
      <c r="Q56" t="s">
        <v>394</v>
      </c>
      <c r="R56" t="s">
        <v>399</v>
      </c>
      <c r="S56" t="s">
        <v>406</v>
      </c>
      <c r="T56">
        <v>1</v>
      </c>
      <c r="U56" t="s">
        <v>415</v>
      </c>
    </row>
    <row r="57" spans="1:21" x14ac:dyDescent="0.3">
      <c r="A57" t="s">
        <v>148</v>
      </c>
      <c r="B57" t="s">
        <v>13</v>
      </c>
      <c r="C57" t="s">
        <v>14</v>
      </c>
      <c r="D57">
        <v>2</v>
      </c>
      <c r="E57" t="s">
        <v>15</v>
      </c>
      <c r="F57" t="s">
        <v>16</v>
      </c>
      <c r="G57">
        <v>7500</v>
      </c>
      <c r="H57">
        <v>0</v>
      </c>
      <c r="I57">
        <v>225</v>
      </c>
      <c r="J57">
        <v>360</v>
      </c>
      <c r="K57">
        <v>1</v>
      </c>
      <c r="L57" t="s">
        <v>17</v>
      </c>
      <c r="M57">
        <v>7500</v>
      </c>
      <c r="N57">
        <v>625</v>
      </c>
      <c r="O57" s="3">
        <v>1730.0553380647507</v>
      </c>
      <c r="P57" s="3">
        <v>2.7680885409036011</v>
      </c>
      <c r="Q57" t="s">
        <v>395</v>
      </c>
      <c r="R57" t="s">
        <v>399</v>
      </c>
      <c r="S57" t="s">
        <v>405</v>
      </c>
      <c r="T57">
        <v>0</v>
      </c>
      <c r="U57" t="s">
        <v>415</v>
      </c>
    </row>
    <row r="58" spans="1:21" x14ac:dyDescent="0.3">
      <c r="A58" t="s">
        <v>150</v>
      </c>
      <c r="B58" t="s">
        <v>13</v>
      </c>
      <c r="C58" t="s">
        <v>14</v>
      </c>
      <c r="D58">
        <v>1</v>
      </c>
      <c r="E58" t="s">
        <v>22</v>
      </c>
      <c r="F58" t="s">
        <v>16</v>
      </c>
      <c r="G58">
        <v>3321</v>
      </c>
      <c r="H58">
        <v>2088</v>
      </c>
      <c r="I58">
        <v>70</v>
      </c>
      <c r="J58">
        <v>360</v>
      </c>
      <c r="K58">
        <v>1</v>
      </c>
      <c r="L58" t="s">
        <v>26</v>
      </c>
      <c r="M58">
        <v>5409</v>
      </c>
      <c r="N58">
        <v>450.75</v>
      </c>
      <c r="O58" s="3">
        <v>538.23943850903356</v>
      </c>
      <c r="P58" s="3">
        <v>1.1940974786667411</v>
      </c>
      <c r="Q58" t="s">
        <v>395</v>
      </c>
      <c r="R58" t="s">
        <v>399</v>
      </c>
      <c r="S58" t="s">
        <v>406</v>
      </c>
      <c r="T58">
        <v>0</v>
      </c>
      <c r="U58" t="s">
        <v>416</v>
      </c>
    </row>
    <row r="59" spans="1:21" x14ac:dyDescent="0.3">
      <c r="A59" t="s">
        <v>162</v>
      </c>
      <c r="B59" t="s">
        <v>13</v>
      </c>
      <c r="C59" t="s">
        <v>14</v>
      </c>
      <c r="D59">
        <v>3</v>
      </c>
      <c r="E59" t="s">
        <v>15</v>
      </c>
      <c r="F59" t="s">
        <v>16</v>
      </c>
      <c r="G59">
        <v>3089</v>
      </c>
      <c r="H59">
        <v>2999</v>
      </c>
      <c r="I59">
        <v>100</v>
      </c>
      <c r="J59">
        <v>240</v>
      </c>
      <c r="K59">
        <v>1</v>
      </c>
      <c r="L59" t="s">
        <v>28</v>
      </c>
      <c r="M59">
        <v>6088</v>
      </c>
      <c r="N59">
        <v>507.33333333333331</v>
      </c>
      <c r="O59" s="3">
        <v>867.82323336553395</v>
      </c>
      <c r="P59" s="3">
        <v>1.7105582786442852</v>
      </c>
      <c r="Q59" t="s">
        <v>395</v>
      </c>
      <c r="R59" t="s">
        <v>399</v>
      </c>
      <c r="S59" t="s">
        <v>404</v>
      </c>
      <c r="T59">
        <v>0</v>
      </c>
      <c r="U59" t="s">
        <v>417</v>
      </c>
    </row>
    <row r="60" spans="1:21" x14ac:dyDescent="0.3">
      <c r="A60" t="s">
        <v>163</v>
      </c>
      <c r="B60" t="s">
        <v>13</v>
      </c>
      <c r="C60" t="s">
        <v>14</v>
      </c>
      <c r="D60">
        <v>3</v>
      </c>
      <c r="E60" t="s">
        <v>22</v>
      </c>
      <c r="F60" t="s">
        <v>16</v>
      </c>
      <c r="G60">
        <v>6794</v>
      </c>
      <c r="H60">
        <v>528</v>
      </c>
      <c r="I60">
        <v>139</v>
      </c>
      <c r="J60">
        <v>360</v>
      </c>
      <c r="K60">
        <v>0</v>
      </c>
      <c r="L60" t="s">
        <v>17</v>
      </c>
      <c r="M60">
        <v>7322</v>
      </c>
      <c r="N60">
        <v>610.16666666666663</v>
      </c>
      <c r="O60" s="3">
        <v>1068.7897421822238</v>
      </c>
      <c r="P60" s="3">
        <v>1.7516357424456004</v>
      </c>
      <c r="Q60" t="s">
        <v>394</v>
      </c>
      <c r="R60" t="s">
        <v>399</v>
      </c>
      <c r="S60" t="s">
        <v>404</v>
      </c>
      <c r="T60">
        <v>1</v>
      </c>
      <c r="U60" t="s">
        <v>415</v>
      </c>
    </row>
    <row r="61" spans="1:21" x14ac:dyDescent="0.3">
      <c r="A61" t="s">
        <v>168</v>
      </c>
      <c r="B61" t="s">
        <v>13</v>
      </c>
      <c r="C61" t="s">
        <v>16</v>
      </c>
      <c r="D61">
        <v>0</v>
      </c>
      <c r="E61" t="s">
        <v>22</v>
      </c>
      <c r="F61" t="s">
        <v>14</v>
      </c>
      <c r="G61">
        <v>8703</v>
      </c>
      <c r="H61">
        <v>0</v>
      </c>
      <c r="I61">
        <v>199</v>
      </c>
      <c r="J61">
        <v>360</v>
      </c>
      <c r="K61">
        <v>0</v>
      </c>
      <c r="L61" t="s">
        <v>28</v>
      </c>
      <c r="M61">
        <v>8703</v>
      </c>
      <c r="N61">
        <v>725.25</v>
      </c>
      <c r="O61" s="3">
        <v>1530.137832332824</v>
      </c>
      <c r="P61" s="3">
        <v>2.109807421348258</v>
      </c>
      <c r="Q61" t="s">
        <v>394</v>
      </c>
      <c r="R61" t="s">
        <v>399</v>
      </c>
      <c r="S61" t="s">
        <v>404</v>
      </c>
      <c r="T61">
        <v>1</v>
      </c>
      <c r="U61" t="s">
        <v>417</v>
      </c>
    </row>
    <row r="62" spans="1:21" x14ac:dyDescent="0.3">
      <c r="A62" t="s">
        <v>169</v>
      </c>
      <c r="B62" t="s">
        <v>13</v>
      </c>
      <c r="C62" t="s">
        <v>14</v>
      </c>
      <c r="D62">
        <v>1</v>
      </c>
      <c r="E62" t="s">
        <v>15</v>
      </c>
      <c r="F62" t="s">
        <v>16</v>
      </c>
      <c r="G62">
        <v>4742</v>
      </c>
      <c r="H62">
        <v>717</v>
      </c>
      <c r="I62">
        <v>139</v>
      </c>
      <c r="J62">
        <v>360</v>
      </c>
      <c r="K62">
        <v>1</v>
      </c>
      <c r="L62" t="s">
        <v>26</v>
      </c>
      <c r="M62">
        <v>5459</v>
      </c>
      <c r="N62">
        <v>454.91666666666669</v>
      </c>
      <c r="O62" s="3">
        <v>1068.7897421822238</v>
      </c>
      <c r="P62" s="3">
        <v>2.3494187408292149</v>
      </c>
      <c r="Q62" t="s">
        <v>395</v>
      </c>
      <c r="R62" t="s">
        <v>399</v>
      </c>
      <c r="S62" t="s">
        <v>404</v>
      </c>
      <c r="T62">
        <v>0</v>
      </c>
      <c r="U62" t="s">
        <v>416</v>
      </c>
    </row>
    <row r="63" spans="1:21" x14ac:dyDescent="0.3">
      <c r="A63" t="s">
        <v>170</v>
      </c>
      <c r="B63" t="s">
        <v>13</v>
      </c>
      <c r="C63" t="s">
        <v>16</v>
      </c>
      <c r="D63">
        <v>0</v>
      </c>
      <c r="E63" t="s">
        <v>15</v>
      </c>
      <c r="F63" t="s">
        <v>16</v>
      </c>
      <c r="G63">
        <v>5900</v>
      </c>
      <c r="H63">
        <v>0</v>
      </c>
      <c r="I63">
        <v>150</v>
      </c>
      <c r="J63">
        <v>360</v>
      </c>
      <c r="K63">
        <v>1</v>
      </c>
      <c r="L63" t="s">
        <v>17</v>
      </c>
      <c r="M63">
        <v>5900</v>
      </c>
      <c r="N63">
        <v>491.66666666666669</v>
      </c>
      <c r="O63" s="3">
        <v>1153.3702253765005</v>
      </c>
      <c r="P63" s="3">
        <v>2.3458377465284754</v>
      </c>
      <c r="Q63" t="s">
        <v>395</v>
      </c>
      <c r="R63" t="s">
        <v>399</v>
      </c>
      <c r="S63" t="s">
        <v>404</v>
      </c>
      <c r="T63">
        <v>0</v>
      </c>
      <c r="U63" t="s">
        <v>415</v>
      </c>
    </row>
    <row r="64" spans="1:21" x14ac:dyDescent="0.3">
      <c r="A64" t="s">
        <v>171</v>
      </c>
      <c r="B64" t="s">
        <v>13</v>
      </c>
      <c r="C64" t="s">
        <v>16</v>
      </c>
      <c r="D64">
        <v>0</v>
      </c>
      <c r="E64" t="s">
        <v>15</v>
      </c>
      <c r="F64" t="s">
        <v>16</v>
      </c>
      <c r="G64">
        <v>3071</v>
      </c>
      <c r="H64">
        <v>4309</v>
      </c>
      <c r="I64">
        <v>180</v>
      </c>
      <c r="J64">
        <v>360</v>
      </c>
      <c r="K64">
        <v>1</v>
      </c>
      <c r="L64" t="s">
        <v>17</v>
      </c>
      <c r="M64">
        <v>7380</v>
      </c>
      <c r="N64">
        <v>615</v>
      </c>
      <c r="O64" s="3">
        <v>1384.0442704518005</v>
      </c>
      <c r="P64" s="3">
        <v>2.250478488539513</v>
      </c>
      <c r="Q64" t="s">
        <v>395</v>
      </c>
      <c r="R64" t="s">
        <v>399</v>
      </c>
      <c r="S64" t="s">
        <v>404</v>
      </c>
      <c r="T64">
        <v>0</v>
      </c>
      <c r="U64" t="s">
        <v>415</v>
      </c>
    </row>
    <row r="65" spans="1:21" x14ac:dyDescent="0.3">
      <c r="A65" t="s">
        <v>173</v>
      </c>
      <c r="B65" t="s">
        <v>13</v>
      </c>
      <c r="C65" t="s">
        <v>16</v>
      </c>
      <c r="D65">
        <v>0</v>
      </c>
      <c r="E65" t="s">
        <v>15</v>
      </c>
      <c r="F65" t="s">
        <v>16</v>
      </c>
      <c r="G65">
        <v>5000</v>
      </c>
      <c r="H65">
        <v>0</v>
      </c>
      <c r="I65">
        <v>148</v>
      </c>
      <c r="J65">
        <v>360</v>
      </c>
      <c r="K65">
        <v>1</v>
      </c>
      <c r="L65" t="s">
        <v>28</v>
      </c>
      <c r="M65">
        <v>5000</v>
      </c>
      <c r="N65">
        <v>416.66666666666669</v>
      </c>
      <c r="O65" s="3">
        <v>1137.9919557048138</v>
      </c>
      <c r="P65" s="3">
        <v>2.7311806936915528</v>
      </c>
      <c r="Q65" t="s">
        <v>395</v>
      </c>
      <c r="R65" t="s">
        <v>399</v>
      </c>
      <c r="S65" t="s">
        <v>404</v>
      </c>
      <c r="T65">
        <v>0</v>
      </c>
      <c r="U65" t="s">
        <v>417</v>
      </c>
    </row>
    <row r="66" spans="1:21" x14ac:dyDescent="0.3">
      <c r="A66" t="s">
        <v>177</v>
      </c>
      <c r="B66" t="s">
        <v>13</v>
      </c>
      <c r="C66" t="s">
        <v>14</v>
      </c>
      <c r="D66">
        <v>2</v>
      </c>
      <c r="E66" t="s">
        <v>15</v>
      </c>
      <c r="F66" t="s">
        <v>14</v>
      </c>
      <c r="G66">
        <v>4246</v>
      </c>
      <c r="H66">
        <v>4246</v>
      </c>
      <c r="I66">
        <v>214</v>
      </c>
      <c r="J66">
        <v>360</v>
      </c>
      <c r="K66">
        <v>1</v>
      </c>
      <c r="L66" t="s">
        <v>17</v>
      </c>
      <c r="M66">
        <v>8492</v>
      </c>
      <c r="N66">
        <v>707.66666666666663</v>
      </c>
      <c r="O66" s="3">
        <v>1645.474854870474</v>
      </c>
      <c r="P66" s="3">
        <v>2.3252117591198411</v>
      </c>
      <c r="Q66" t="s">
        <v>395</v>
      </c>
      <c r="R66" t="s">
        <v>399</v>
      </c>
      <c r="S66" t="s">
        <v>405</v>
      </c>
      <c r="T66">
        <v>0</v>
      </c>
      <c r="U66" t="s">
        <v>415</v>
      </c>
    </row>
    <row r="67" spans="1:21" x14ac:dyDescent="0.3">
      <c r="A67" t="s">
        <v>178</v>
      </c>
      <c r="B67" t="s">
        <v>13</v>
      </c>
      <c r="C67" t="s">
        <v>14</v>
      </c>
      <c r="D67">
        <v>0</v>
      </c>
      <c r="E67" t="s">
        <v>15</v>
      </c>
      <c r="F67" t="s">
        <v>16</v>
      </c>
      <c r="G67">
        <v>4333</v>
      </c>
      <c r="H67">
        <v>2291</v>
      </c>
      <c r="I67">
        <v>133</v>
      </c>
      <c r="J67">
        <v>350</v>
      </c>
      <c r="K67">
        <v>1</v>
      </c>
      <c r="L67" t="s">
        <v>28</v>
      </c>
      <c r="M67">
        <v>6624</v>
      </c>
      <c r="N67">
        <v>552</v>
      </c>
      <c r="O67" s="3">
        <v>1029.0917034492104</v>
      </c>
      <c r="P67" s="3">
        <v>1.8642965642195841</v>
      </c>
      <c r="Q67" t="s">
        <v>395</v>
      </c>
      <c r="R67" t="s">
        <v>399</v>
      </c>
      <c r="S67" t="s">
        <v>404</v>
      </c>
      <c r="T67">
        <v>0</v>
      </c>
      <c r="U67" t="s">
        <v>417</v>
      </c>
    </row>
    <row r="68" spans="1:21" x14ac:dyDescent="0.3">
      <c r="A68" t="s">
        <v>179</v>
      </c>
      <c r="B68" t="s">
        <v>13</v>
      </c>
      <c r="C68" t="s">
        <v>16</v>
      </c>
      <c r="D68">
        <v>1</v>
      </c>
      <c r="E68" t="s">
        <v>15</v>
      </c>
      <c r="F68" t="s">
        <v>16</v>
      </c>
      <c r="G68">
        <v>5823</v>
      </c>
      <c r="H68">
        <v>2529</v>
      </c>
      <c r="I68">
        <v>187</v>
      </c>
      <c r="J68">
        <v>360</v>
      </c>
      <c r="K68">
        <v>1</v>
      </c>
      <c r="L68" t="s">
        <v>26</v>
      </c>
      <c r="M68">
        <v>8352</v>
      </c>
      <c r="N68">
        <v>696</v>
      </c>
      <c r="O68" s="3">
        <v>1437.8682143027038</v>
      </c>
      <c r="P68" s="3">
        <v>2.0659026067567585</v>
      </c>
      <c r="Q68" t="s">
        <v>395</v>
      </c>
      <c r="R68" t="s">
        <v>399</v>
      </c>
      <c r="S68" t="s">
        <v>404</v>
      </c>
      <c r="T68">
        <v>0</v>
      </c>
      <c r="U68" t="s">
        <v>416</v>
      </c>
    </row>
    <row r="69" spans="1:21" x14ac:dyDescent="0.3">
      <c r="A69" t="s">
        <v>180</v>
      </c>
      <c r="B69" t="s">
        <v>13</v>
      </c>
      <c r="C69" t="s">
        <v>14</v>
      </c>
      <c r="D69">
        <v>0</v>
      </c>
      <c r="E69" t="s">
        <v>22</v>
      </c>
      <c r="F69" t="s">
        <v>16</v>
      </c>
      <c r="G69">
        <v>7895</v>
      </c>
      <c r="H69">
        <v>0</v>
      </c>
      <c r="I69">
        <v>143</v>
      </c>
      <c r="J69">
        <v>360</v>
      </c>
      <c r="K69">
        <v>1</v>
      </c>
      <c r="L69" t="s">
        <v>28</v>
      </c>
      <c r="M69">
        <v>7895</v>
      </c>
      <c r="N69">
        <v>657.91666666666663</v>
      </c>
      <c r="O69" s="3">
        <v>1099.5462815255971</v>
      </c>
      <c r="P69" s="3">
        <v>1.6712546394309267</v>
      </c>
      <c r="Q69" t="s">
        <v>395</v>
      </c>
      <c r="R69" t="s">
        <v>399</v>
      </c>
      <c r="S69" t="s">
        <v>404</v>
      </c>
      <c r="T69">
        <v>0</v>
      </c>
      <c r="U69" t="s">
        <v>417</v>
      </c>
    </row>
    <row r="70" spans="1:21" x14ac:dyDescent="0.3">
      <c r="A70" t="s">
        <v>181</v>
      </c>
      <c r="B70" t="s">
        <v>13</v>
      </c>
      <c r="C70" t="s">
        <v>16</v>
      </c>
      <c r="D70">
        <v>0</v>
      </c>
      <c r="E70" t="s">
        <v>15</v>
      </c>
      <c r="F70" t="s">
        <v>16</v>
      </c>
      <c r="G70">
        <v>4150</v>
      </c>
      <c r="H70">
        <v>4256</v>
      </c>
      <c r="I70">
        <v>209</v>
      </c>
      <c r="J70">
        <v>360</v>
      </c>
      <c r="K70">
        <v>1</v>
      </c>
      <c r="L70" t="s">
        <v>28</v>
      </c>
      <c r="M70">
        <v>8406</v>
      </c>
      <c r="N70">
        <v>700.5</v>
      </c>
      <c r="O70" s="3">
        <v>1607.0291806912571</v>
      </c>
      <c r="P70" s="3">
        <v>2.2941173171895177</v>
      </c>
      <c r="Q70" t="s">
        <v>395</v>
      </c>
      <c r="R70" t="s">
        <v>399</v>
      </c>
      <c r="S70" t="s">
        <v>405</v>
      </c>
      <c r="T70">
        <v>0</v>
      </c>
      <c r="U70" t="s">
        <v>417</v>
      </c>
    </row>
    <row r="71" spans="1:21" x14ac:dyDescent="0.3">
      <c r="A71" t="s">
        <v>183</v>
      </c>
      <c r="B71" t="s">
        <v>13</v>
      </c>
      <c r="C71" t="s">
        <v>16</v>
      </c>
      <c r="D71">
        <v>0</v>
      </c>
      <c r="E71" t="s">
        <v>15</v>
      </c>
      <c r="F71" t="s">
        <v>16</v>
      </c>
      <c r="G71">
        <v>5583</v>
      </c>
      <c r="H71">
        <v>0</v>
      </c>
      <c r="I71">
        <v>116</v>
      </c>
      <c r="J71">
        <v>360</v>
      </c>
      <c r="K71">
        <v>1</v>
      </c>
      <c r="L71" t="s">
        <v>17</v>
      </c>
      <c r="M71">
        <v>5583</v>
      </c>
      <c r="N71">
        <v>465.25</v>
      </c>
      <c r="O71" s="3">
        <v>891.93964095782701</v>
      </c>
      <c r="P71" s="3">
        <v>1.9171190563306331</v>
      </c>
      <c r="Q71" t="s">
        <v>395</v>
      </c>
      <c r="R71" t="s">
        <v>399</v>
      </c>
      <c r="S71" t="s">
        <v>404</v>
      </c>
      <c r="T71">
        <v>0</v>
      </c>
      <c r="U71" t="s">
        <v>415</v>
      </c>
    </row>
    <row r="72" spans="1:21" x14ac:dyDescent="0.3">
      <c r="A72" t="s">
        <v>185</v>
      </c>
      <c r="B72" t="s">
        <v>13</v>
      </c>
      <c r="C72" t="s">
        <v>16</v>
      </c>
      <c r="D72">
        <v>1</v>
      </c>
      <c r="E72" t="s">
        <v>15</v>
      </c>
      <c r="F72" t="s">
        <v>16</v>
      </c>
      <c r="G72">
        <v>3180</v>
      </c>
      <c r="H72">
        <v>2370</v>
      </c>
      <c r="I72">
        <v>80</v>
      </c>
      <c r="J72">
        <v>240</v>
      </c>
      <c r="K72">
        <v>0</v>
      </c>
      <c r="L72" t="s">
        <v>28</v>
      </c>
      <c r="M72">
        <v>5550</v>
      </c>
      <c r="N72">
        <v>462.5</v>
      </c>
      <c r="O72" s="3">
        <v>694.25858669242723</v>
      </c>
      <c r="P72" s="3">
        <v>1.5010996469025453</v>
      </c>
      <c r="Q72" t="s">
        <v>394</v>
      </c>
      <c r="R72" t="s">
        <v>399</v>
      </c>
      <c r="S72" t="s">
        <v>406</v>
      </c>
      <c r="T72">
        <v>1</v>
      </c>
      <c r="U72" t="s">
        <v>417</v>
      </c>
    </row>
    <row r="73" spans="1:21" x14ac:dyDescent="0.3">
      <c r="A73" t="s">
        <v>188</v>
      </c>
      <c r="B73" t="s">
        <v>13</v>
      </c>
      <c r="C73" t="s">
        <v>14</v>
      </c>
      <c r="D73">
        <v>0</v>
      </c>
      <c r="E73" t="s">
        <v>15</v>
      </c>
      <c r="F73" t="s">
        <v>16</v>
      </c>
      <c r="G73">
        <v>3042</v>
      </c>
      <c r="H73">
        <v>3167</v>
      </c>
      <c r="I73">
        <v>135</v>
      </c>
      <c r="J73">
        <v>360</v>
      </c>
      <c r="K73">
        <v>1</v>
      </c>
      <c r="L73" t="s">
        <v>17</v>
      </c>
      <c r="M73">
        <v>6209</v>
      </c>
      <c r="N73">
        <v>517.41666666666663</v>
      </c>
      <c r="O73" s="3">
        <v>1038.0332028388502</v>
      </c>
      <c r="P73" s="3">
        <v>2.0061843185804804</v>
      </c>
      <c r="Q73" t="s">
        <v>395</v>
      </c>
      <c r="R73" t="s">
        <v>399</v>
      </c>
      <c r="S73" t="s">
        <v>404</v>
      </c>
      <c r="T73">
        <v>0</v>
      </c>
      <c r="U73" t="s">
        <v>415</v>
      </c>
    </row>
    <row r="74" spans="1:21" x14ac:dyDescent="0.3">
      <c r="A74" t="s">
        <v>193</v>
      </c>
      <c r="B74" t="s">
        <v>13</v>
      </c>
      <c r="C74" t="s">
        <v>14</v>
      </c>
      <c r="D74">
        <v>0</v>
      </c>
      <c r="E74" t="s">
        <v>15</v>
      </c>
      <c r="F74" t="s">
        <v>16</v>
      </c>
      <c r="G74">
        <v>5225</v>
      </c>
      <c r="H74">
        <v>0</v>
      </c>
      <c r="I74">
        <v>143</v>
      </c>
      <c r="J74">
        <v>360</v>
      </c>
      <c r="K74">
        <v>1</v>
      </c>
      <c r="L74" t="s">
        <v>28</v>
      </c>
      <c r="M74">
        <v>5225</v>
      </c>
      <c r="N74">
        <v>435.41666666666669</v>
      </c>
      <c r="O74" s="3">
        <v>1099.5462815255971</v>
      </c>
      <c r="P74" s="3">
        <v>2.5252737566138115</v>
      </c>
      <c r="Q74" t="s">
        <v>395</v>
      </c>
      <c r="R74" t="s">
        <v>399</v>
      </c>
      <c r="S74" t="s">
        <v>404</v>
      </c>
      <c r="T74">
        <v>0</v>
      </c>
      <c r="U74" t="s">
        <v>417</v>
      </c>
    </row>
    <row r="75" spans="1:21" x14ac:dyDescent="0.3">
      <c r="A75" t="s">
        <v>194</v>
      </c>
      <c r="B75" t="s">
        <v>13</v>
      </c>
      <c r="C75" t="s">
        <v>16</v>
      </c>
      <c r="D75">
        <v>0</v>
      </c>
      <c r="E75" t="s">
        <v>15</v>
      </c>
      <c r="F75" t="s">
        <v>16</v>
      </c>
      <c r="G75">
        <v>3017</v>
      </c>
      <c r="H75">
        <v>2845</v>
      </c>
      <c r="I75">
        <v>159</v>
      </c>
      <c r="J75">
        <v>180</v>
      </c>
      <c r="K75">
        <v>0</v>
      </c>
      <c r="L75" t="s">
        <v>17</v>
      </c>
      <c r="M75">
        <v>5862</v>
      </c>
      <c r="N75">
        <v>488.5</v>
      </c>
      <c r="O75" s="3">
        <v>1565.7358971016934</v>
      </c>
      <c r="P75" s="3">
        <v>3.2051911916104263</v>
      </c>
      <c r="Q75" t="s">
        <v>394</v>
      </c>
      <c r="R75" t="s">
        <v>399</v>
      </c>
      <c r="S75" t="s">
        <v>404</v>
      </c>
      <c r="T75">
        <v>1</v>
      </c>
      <c r="U75" t="s">
        <v>415</v>
      </c>
    </row>
    <row r="76" spans="1:21" x14ac:dyDescent="0.3">
      <c r="A76" t="s">
        <v>196</v>
      </c>
      <c r="B76" t="s">
        <v>13</v>
      </c>
      <c r="C76" t="s">
        <v>14</v>
      </c>
      <c r="D76">
        <v>2</v>
      </c>
      <c r="E76" t="s">
        <v>15</v>
      </c>
      <c r="F76" t="s">
        <v>16</v>
      </c>
      <c r="G76">
        <v>4912</v>
      </c>
      <c r="H76">
        <v>4614</v>
      </c>
      <c r="I76">
        <v>160</v>
      </c>
      <c r="J76">
        <v>360</v>
      </c>
      <c r="K76">
        <v>1</v>
      </c>
      <c r="L76" t="s">
        <v>28</v>
      </c>
      <c r="M76">
        <v>9526</v>
      </c>
      <c r="N76">
        <v>793.83333333333337</v>
      </c>
      <c r="O76" s="3">
        <v>1230.2615737349338</v>
      </c>
      <c r="P76" s="3">
        <v>1.5497731350849471</v>
      </c>
      <c r="Q76" t="s">
        <v>395</v>
      </c>
      <c r="R76" t="s">
        <v>399</v>
      </c>
      <c r="S76" t="s">
        <v>404</v>
      </c>
      <c r="T76">
        <v>0</v>
      </c>
      <c r="U76" t="s">
        <v>417</v>
      </c>
    </row>
    <row r="77" spans="1:21" x14ac:dyDescent="0.3">
      <c r="A77" t="s">
        <v>197</v>
      </c>
      <c r="B77" t="s">
        <v>13</v>
      </c>
      <c r="C77" t="s">
        <v>14</v>
      </c>
      <c r="D77">
        <v>2</v>
      </c>
      <c r="E77" t="s">
        <v>22</v>
      </c>
      <c r="F77" t="s">
        <v>16</v>
      </c>
      <c r="G77">
        <v>2500</v>
      </c>
      <c r="H77">
        <v>3333</v>
      </c>
      <c r="I77">
        <v>131</v>
      </c>
      <c r="J77">
        <v>360</v>
      </c>
      <c r="K77">
        <v>1</v>
      </c>
      <c r="L77" t="s">
        <v>17</v>
      </c>
      <c r="M77">
        <v>5833</v>
      </c>
      <c r="N77">
        <v>486.08333333333331</v>
      </c>
      <c r="O77" s="3">
        <v>1007.2766634954771</v>
      </c>
      <c r="P77" s="3">
        <v>2.0722304066425039</v>
      </c>
      <c r="Q77" t="s">
        <v>395</v>
      </c>
      <c r="R77" t="s">
        <v>399</v>
      </c>
      <c r="S77" t="s">
        <v>404</v>
      </c>
      <c r="T77">
        <v>0</v>
      </c>
      <c r="U77" t="s">
        <v>415</v>
      </c>
    </row>
    <row r="78" spans="1:21" x14ac:dyDescent="0.3">
      <c r="A78" t="s">
        <v>199</v>
      </c>
      <c r="B78" t="s">
        <v>13</v>
      </c>
      <c r="C78" t="s">
        <v>14</v>
      </c>
      <c r="D78">
        <v>2</v>
      </c>
      <c r="E78" t="s">
        <v>15</v>
      </c>
      <c r="F78" t="s">
        <v>16</v>
      </c>
      <c r="G78">
        <v>5128</v>
      </c>
      <c r="H78">
        <v>0</v>
      </c>
      <c r="I78">
        <v>143</v>
      </c>
      <c r="J78">
        <v>360</v>
      </c>
      <c r="K78">
        <v>1</v>
      </c>
      <c r="L78" t="s">
        <v>28</v>
      </c>
      <c r="M78">
        <v>5128</v>
      </c>
      <c r="N78">
        <v>427.33333333333331</v>
      </c>
      <c r="O78" s="3">
        <v>1099.5462815255971</v>
      </c>
      <c r="P78" s="3">
        <v>2.5730412204187143</v>
      </c>
      <c r="Q78" t="s">
        <v>395</v>
      </c>
      <c r="R78" t="s">
        <v>399</v>
      </c>
      <c r="S78" t="s">
        <v>404</v>
      </c>
      <c r="T78">
        <v>0</v>
      </c>
      <c r="U78" t="s">
        <v>417</v>
      </c>
    </row>
    <row r="79" spans="1:21" x14ac:dyDescent="0.3">
      <c r="A79" t="s">
        <v>201</v>
      </c>
      <c r="B79" t="s">
        <v>13</v>
      </c>
      <c r="C79" t="s">
        <v>14</v>
      </c>
      <c r="D79">
        <v>2</v>
      </c>
      <c r="E79" t="s">
        <v>15</v>
      </c>
      <c r="F79" t="s">
        <v>16</v>
      </c>
      <c r="G79">
        <v>3958</v>
      </c>
      <c r="H79">
        <v>2632</v>
      </c>
      <c r="I79">
        <v>160</v>
      </c>
      <c r="J79">
        <v>360</v>
      </c>
      <c r="K79">
        <v>1</v>
      </c>
      <c r="L79" t="s">
        <v>26</v>
      </c>
      <c r="M79">
        <v>6590</v>
      </c>
      <c r="N79">
        <v>549.16666666666663</v>
      </c>
      <c r="O79" s="3">
        <v>1230.2615737349338</v>
      </c>
      <c r="P79" s="3">
        <v>2.2402335181819737</v>
      </c>
      <c r="Q79" t="s">
        <v>395</v>
      </c>
      <c r="R79" t="s">
        <v>399</v>
      </c>
      <c r="S79" t="s">
        <v>404</v>
      </c>
      <c r="T79">
        <v>0</v>
      </c>
      <c r="U79" t="s">
        <v>416</v>
      </c>
    </row>
    <row r="80" spans="1:21" x14ac:dyDescent="0.3">
      <c r="A80" t="s">
        <v>202</v>
      </c>
      <c r="B80" t="s">
        <v>13</v>
      </c>
      <c r="C80" t="s">
        <v>14</v>
      </c>
      <c r="D80">
        <v>0</v>
      </c>
      <c r="E80" t="s">
        <v>15</v>
      </c>
      <c r="F80" t="s">
        <v>16</v>
      </c>
      <c r="G80">
        <v>4334</v>
      </c>
      <c r="H80">
        <v>2945</v>
      </c>
      <c r="I80">
        <v>165</v>
      </c>
      <c r="J80">
        <v>360</v>
      </c>
      <c r="K80">
        <v>1</v>
      </c>
      <c r="L80" t="s">
        <v>26</v>
      </c>
      <c r="M80">
        <v>7279</v>
      </c>
      <c r="N80">
        <v>606.58333333333337</v>
      </c>
      <c r="O80" s="3">
        <v>1268.7072479141505</v>
      </c>
      <c r="P80" s="3">
        <v>2.0915629859829377</v>
      </c>
      <c r="Q80" t="s">
        <v>395</v>
      </c>
      <c r="R80" t="s">
        <v>399</v>
      </c>
      <c r="S80" t="s">
        <v>404</v>
      </c>
      <c r="T80">
        <v>0</v>
      </c>
      <c r="U80" t="s">
        <v>416</v>
      </c>
    </row>
    <row r="81" spans="1:21" x14ac:dyDescent="0.3">
      <c r="A81" t="s">
        <v>204</v>
      </c>
      <c r="B81" t="s">
        <v>25</v>
      </c>
      <c r="C81" t="s">
        <v>14</v>
      </c>
      <c r="D81">
        <v>1</v>
      </c>
      <c r="E81" t="s">
        <v>15</v>
      </c>
      <c r="F81" t="s">
        <v>16</v>
      </c>
      <c r="G81">
        <v>4000</v>
      </c>
      <c r="H81">
        <v>3917</v>
      </c>
      <c r="I81">
        <v>173</v>
      </c>
      <c r="J81">
        <v>360</v>
      </c>
      <c r="K81">
        <v>1</v>
      </c>
      <c r="L81" t="s">
        <v>28</v>
      </c>
      <c r="M81">
        <v>7917</v>
      </c>
      <c r="N81">
        <v>659.75</v>
      </c>
      <c r="O81" s="3">
        <v>1330.2203266008971</v>
      </c>
      <c r="P81" s="3">
        <v>2.0162490740445578</v>
      </c>
      <c r="Q81" t="s">
        <v>395</v>
      </c>
      <c r="R81" t="s">
        <v>399</v>
      </c>
      <c r="S81" t="s">
        <v>404</v>
      </c>
      <c r="T81">
        <v>0</v>
      </c>
      <c r="U81" t="s">
        <v>417</v>
      </c>
    </row>
    <row r="82" spans="1:21" x14ac:dyDescent="0.3">
      <c r="A82" t="s">
        <v>207</v>
      </c>
      <c r="B82" t="s">
        <v>13</v>
      </c>
      <c r="C82" t="s">
        <v>14</v>
      </c>
      <c r="D82">
        <v>2</v>
      </c>
      <c r="E82" t="s">
        <v>22</v>
      </c>
      <c r="F82" t="s">
        <v>16</v>
      </c>
      <c r="G82">
        <v>4521</v>
      </c>
      <c r="H82">
        <v>1184</v>
      </c>
      <c r="I82">
        <v>150</v>
      </c>
      <c r="J82">
        <v>360</v>
      </c>
      <c r="K82">
        <v>1</v>
      </c>
      <c r="L82" t="s">
        <v>26</v>
      </c>
      <c r="M82">
        <v>5705</v>
      </c>
      <c r="N82">
        <v>475.41666666666669</v>
      </c>
      <c r="O82" s="3">
        <v>1153.3702253765005</v>
      </c>
      <c r="P82" s="3">
        <v>2.4260197553931646</v>
      </c>
      <c r="Q82" t="s">
        <v>395</v>
      </c>
      <c r="R82" t="s">
        <v>399</v>
      </c>
      <c r="S82" t="s">
        <v>404</v>
      </c>
      <c r="T82">
        <v>0</v>
      </c>
      <c r="U82" t="s">
        <v>416</v>
      </c>
    </row>
    <row r="83" spans="1:21" x14ac:dyDescent="0.3">
      <c r="A83" t="s">
        <v>208</v>
      </c>
      <c r="B83" t="s">
        <v>13</v>
      </c>
      <c r="C83" t="s">
        <v>14</v>
      </c>
      <c r="D83">
        <v>2</v>
      </c>
      <c r="E83" t="s">
        <v>15</v>
      </c>
      <c r="F83" t="s">
        <v>16</v>
      </c>
      <c r="G83">
        <v>9167</v>
      </c>
      <c r="H83">
        <v>0</v>
      </c>
      <c r="I83">
        <v>235</v>
      </c>
      <c r="J83">
        <v>360</v>
      </c>
      <c r="K83">
        <v>1</v>
      </c>
      <c r="L83" t="s">
        <v>26</v>
      </c>
      <c r="M83">
        <v>9167</v>
      </c>
      <c r="N83">
        <v>763.91666666666663</v>
      </c>
      <c r="O83" s="3">
        <v>1806.946686423184</v>
      </c>
      <c r="P83" s="3">
        <v>2.3653714669006445</v>
      </c>
      <c r="Q83" t="s">
        <v>395</v>
      </c>
      <c r="R83" t="s">
        <v>399</v>
      </c>
      <c r="S83" t="s">
        <v>405</v>
      </c>
      <c r="T83">
        <v>0</v>
      </c>
      <c r="U83" t="s">
        <v>416</v>
      </c>
    </row>
    <row r="84" spans="1:21" x14ac:dyDescent="0.3">
      <c r="A84" t="s">
        <v>213</v>
      </c>
      <c r="B84" t="s">
        <v>13</v>
      </c>
      <c r="C84" t="s">
        <v>14</v>
      </c>
      <c r="D84">
        <v>2</v>
      </c>
      <c r="E84" t="s">
        <v>22</v>
      </c>
      <c r="F84" t="s">
        <v>16</v>
      </c>
      <c r="G84">
        <v>3785</v>
      </c>
      <c r="H84">
        <v>2912</v>
      </c>
      <c r="I84">
        <v>180</v>
      </c>
      <c r="J84">
        <v>360</v>
      </c>
      <c r="K84">
        <v>0</v>
      </c>
      <c r="L84" t="s">
        <v>28</v>
      </c>
      <c r="M84">
        <v>6697</v>
      </c>
      <c r="N84">
        <v>558.08333333333337</v>
      </c>
      <c r="O84" s="3">
        <v>1384.0442704518005</v>
      </c>
      <c r="P84" s="3">
        <v>2.4799957063493512</v>
      </c>
      <c r="Q84" t="s">
        <v>394</v>
      </c>
      <c r="R84" t="s">
        <v>399</v>
      </c>
      <c r="S84" t="s">
        <v>404</v>
      </c>
      <c r="T84">
        <v>1</v>
      </c>
      <c r="U84" t="s">
        <v>417</v>
      </c>
    </row>
    <row r="85" spans="1:21" x14ac:dyDescent="0.3">
      <c r="A85" t="s">
        <v>216</v>
      </c>
      <c r="B85" t="s">
        <v>13</v>
      </c>
      <c r="C85" t="s">
        <v>16</v>
      </c>
      <c r="D85">
        <v>0</v>
      </c>
      <c r="E85" t="s">
        <v>15</v>
      </c>
      <c r="F85" t="s">
        <v>14</v>
      </c>
      <c r="G85">
        <v>5833</v>
      </c>
      <c r="H85">
        <v>0</v>
      </c>
      <c r="I85">
        <v>116</v>
      </c>
      <c r="J85">
        <v>360</v>
      </c>
      <c r="K85">
        <v>1</v>
      </c>
      <c r="L85" t="s">
        <v>17</v>
      </c>
      <c r="M85">
        <v>5833</v>
      </c>
      <c r="N85">
        <v>486.08333333333331</v>
      </c>
      <c r="O85" s="3">
        <v>891.93964095782701</v>
      </c>
      <c r="P85" s="3">
        <v>1.8349521158055759</v>
      </c>
      <c r="Q85" t="s">
        <v>395</v>
      </c>
      <c r="R85" t="s">
        <v>399</v>
      </c>
      <c r="S85" t="s">
        <v>404</v>
      </c>
      <c r="T85">
        <v>0</v>
      </c>
      <c r="U85" t="s">
        <v>415</v>
      </c>
    </row>
    <row r="86" spans="1:21" x14ac:dyDescent="0.3">
      <c r="A86" t="s">
        <v>221</v>
      </c>
      <c r="B86" t="s">
        <v>13</v>
      </c>
      <c r="C86" t="s">
        <v>14</v>
      </c>
      <c r="D86">
        <v>0</v>
      </c>
      <c r="E86" t="s">
        <v>15</v>
      </c>
      <c r="F86" t="s">
        <v>14</v>
      </c>
      <c r="G86">
        <v>8706</v>
      </c>
      <c r="H86">
        <v>0</v>
      </c>
      <c r="I86">
        <v>108</v>
      </c>
      <c r="J86">
        <v>480</v>
      </c>
      <c r="K86">
        <v>1</v>
      </c>
      <c r="L86" t="s">
        <v>28</v>
      </c>
      <c r="M86">
        <v>8706</v>
      </c>
      <c r="N86">
        <v>725.5</v>
      </c>
      <c r="O86" s="3">
        <v>791.74159375185161</v>
      </c>
      <c r="P86" s="3">
        <v>1.0913047467289478</v>
      </c>
      <c r="Q86" t="s">
        <v>395</v>
      </c>
      <c r="R86" t="s">
        <v>399</v>
      </c>
      <c r="S86" t="s">
        <v>404</v>
      </c>
      <c r="T86">
        <v>0</v>
      </c>
      <c r="U86" t="s">
        <v>417</v>
      </c>
    </row>
    <row r="87" spans="1:21" x14ac:dyDescent="0.3">
      <c r="A87" t="s">
        <v>224</v>
      </c>
      <c r="B87" t="s">
        <v>25</v>
      </c>
      <c r="C87" t="s">
        <v>14</v>
      </c>
      <c r="D87">
        <v>0</v>
      </c>
      <c r="E87" t="s">
        <v>15</v>
      </c>
      <c r="F87" t="s">
        <v>16</v>
      </c>
      <c r="G87">
        <v>3159</v>
      </c>
      <c r="H87">
        <v>2374</v>
      </c>
      <c r="I87">
        <v>108</v>
      </c>
      <c r="J87">
        <v>360</v>
      </c>
      <c r="K87">
        <v>1</v>
      </c>
      <c r="L87" t="s">
        <v>26</v>
      </c>
      <c r="M87">
        <v>5533</v>
      </c>
      <c r="N87">
        <v>461.08333333333331</v>
      </c>
      <c r="O87" s="3">
        <v>830.42656227108023</v>
      </c>
      <c r="P87" s="3">
        <v>1.8010335708029934</v>
      </c>
      <c r="Q87" t="s">
        <v>395</v>
      </c>
      <c r="R87" t="s">
        <v>399</v>
      </c>
      <c r="S87" t="s">
        <v>404</v>
      </c>
      <c r="T87">
        <v>0</v>
      </c>
      <c r="U87" t="s">
        <v>416</v>
      </c>
    </row>
    <row r="88" spans="1:21" x14ac:dyDescent="0.3">
      <c r="A88" t="s">
        <v>226</v>
      </c>
      <c r="B88" t="s">
        <v>13</v>
      </c>
      <c r="C88" t="s">
        <v>14</v>
      </c>
      <c r="D88">
        <v>0</v>
      </c>
      <c r="E88" t="s">
        <v>15</v>
      </c>
      <c r="F88" t="s">
        <v>16</v>
      </c>
      <c r="G88">
        <v>2613</v>
      </c>
      <c r="H88">
        <v>2417</v>
      </c>
      <c r="I88">
        <v>123</v>
      </c>
      <c r="J88">
        <v>360</v>
      </c>
      <c r="K88">
        <v>1</v>
      </c>
      <c r="L88" t="s">
        <v>26</v>
      </c>
      <c r="M88">
        <v>5030</v>
      </c>
      <c r="N88">
        <v>419.16666666666669</v>
      </c>
      <c r="O88" s="3">
        <v>945.76358480873034</v>
      </c>
      <c r="P88" s="3">
        <v>2.2562948345337501</v>
      </c>
      <c r="Q88" t="s">
        <v>395</v>
      </c>
      <c r="R88" t="s">
        <v>399</v>
      </c>
      <c r="S88" t="s">
        <v>404</v>
      </c>
      <c r="T88">
        <v>0</v>
      </c>
      <c r="U88" t="s">
        <v>416</v>
      </c>
    </row>
    <row r="89" spans="1:21" x14ac:dyDescent="0.3">
      <c r="A89" t="s">
        <v>227</v>
      </c>
      <c r="B89" t="s">
        <v>13</v>
      </c>
      <c r="C89" t="s">
        <v>14</v>
      </c>
      <c r="D89">
        <v>1</v>
      </c>
      <c r="E89" t="s">
        <v>15</v>
      </c>
      <c r="F89" t="s">
        <v>16</v>
      </c>
      <c r="G89">
        <v>4960</v>
      </c>
      <c r="H89">
        <v>2600</v>
      </c>
      <c r="I89">
        <v>187</v>
      </c>
      <c r="J89">
        <v>360</v>
      </c>
      <c r="K89">
        <v>1</v>
      </c>
      <c r="L89" t="s">
        <v>26</v>
      </c>
      <c r="M89">
        <v>7560</v>
      </c>
      <c r="N89">
        <v>630</v>
      </c>
      <c r="O89" s="3">
        <v>1437.8682143027038</v>
      </c>
      <c r="P89" s="3">
        <v>2.2823304988931805</v>
      </c>
      <c r="Q89" t="s">
        <v>395</v>
      </c>
      <c r="R89" t="s">
        <v>399</v>
      </c>
      <c r="S89" t="s">
        <v>404</v>
      </c>
      <c r="T89">
        <v>0</v>
      </c>
      <c r="U89" t="s">
        <v>416</v>
      </c>
    </row>
    <row r="90" spans="1:21" x14ac:dyDescent="0.3">
      <c r="A90" t="s">
        <v>230</v>
      </c>
      <c r="B90" t="s">
        <v>13</v>
      </c>
      <c r="C90" t="s">
        <v>16</v>
      </c>
      <c r="D90">
        <v>1</v>
      </c>
      <c r="E90" t="s">
        <v>22</v>
      </c>
      <c r="F90" t="s">
        <v>16</v>
      </c>
      <c r="G90">
        <v>2038</v>
      </c>
      <c r="H90">
        <v>4027</v>
      </c>
      <c r="I90">
        <v>100</v>
      </c>
      <c r="J90">
        <v>360</v>
      </c>
      <c r="K90">
        <v>1</v>
      </c>
      <c r="L90" t="s">
        <v>28</v>
      </c>
      <c r="M90">
        <v>6065</v>
      </c>
      <c r="N90">
        <v>505.41666666666669</v>
      </c>
      <c r="O90" s="3">
        <v>768.91348358433368</v>
      </c>
      <c r="P90" s="3">
        <v>1.5213457218486404</v>
      </c>
      <c r="Q90" t="s">
        <v>395</v>
      </c>
      <c r="R90" t="s">
        <v>399</v>
      </c>
      <c r="S90" t="s">
        <v>404</v>
      </c>
      <c r="T90">
        <v>0</v>
      </c>
      <c r="U90" t="s">
        <v>417</v>
      </c>
    </row>
    <row r="91" spans="1:21" x14ac:dyDescent="0.3">
      <c r="A91" t="s">
        <v>232</v>
      </c>
      <c r="B91" t="s">
        <v>13</v>
      </c>
      <c r="C91" t="s">
        <v>16</v>
      </c>
      <c r="D91">
        <v>0</v>
      </c>
      <c r="E91" t="s">
        <v>15</v>
      </c>
      <c r="F91" t="s">
        <v>16</v>
      </c>
      <c r="G91">
        <v>5333</v>
      </c>
      <c r="H91">
        <v>2400</v>
      </c>
      <c r="I91">
        <v>200</v>
      </c>
      <c r="J91">
        <v>360</v>
      </c>
      <c r="K91">
        <v>0</v>
      </c>
      <c r="L91" t="s">
        <v>28</v>
      </c>
      <c r="M91">
        <v>7733</v>
      </c>
      <c r="N91">
        <v>644.41666666666663</v>
      </c>
      <c r="O91" s="3">
        <v>1537.8269671686674</v>
      </c>
      <c r="P91" s="3">
        <v>2.3863860863861386</v>
      </c>
      <c r="Q91" t="s">
        <v>394</v>
      </c>
      <c r="R91" t="s">
        <v>399</v>
      </c>
      <c r="S91" t="s">
        <v>405</v>
      </c>
      <c r="T91">
        <v>1</v>
      </c>
      <c r="U91" t="s">
        <v>417</v>
      </c>
    </row>
    <row r="92" spans="1:21" x14ac:dyDescent="0.3">
      <c r="A92" t="s">
        <v>233</v>
      </c>
      <c r="B92" t="s">
        <v>13</v>
      </c>
      <c r="C92" t="s">
        <v>14</v>
      </c>
      <c r="D92">
        <v>3</v>
      </c>
      <c r="E92" t="s">
        <v>15</v>
      </c>
      <c r="F92" t="s">
        <v>14</v>
      </c>
      <c r="G92">
        <v>5384</v>
      </c>
      <c r="H92">
        <v>0</v>
      </c>
      <c r="I92">
        <v>150</v>
      </c>
      <c r="J92">
        <v>360</v>
      </c>
      <c r="K92">
        <v>1</v>
      </c>
      <c r="L92" t="s">
        <v>26</v>
      </c>
      <c r="M92">
        <v>5384</v>
      </c>
      <c r="N92">
        <v>448.66666666666669</v>
      </c>
      <c r="O92" s="3">
        <v>1153.3702253765005</v>
      </c>
      <c r="P92" s="3">
        <v>2.5706617207500009</v>
      </c>
      <c r="Q92" t="s">
        <v>395</v>
      </c>
      <c r="R92" t="s">
        <v>399</v>
      </c>
      <c r="S92" t="s">
        <v>404</v>
      </c>
      <c r="T92">
        <v>0</v>
      </c>
      <c r="U92" t="s">
        <v>416</v>
      </c>
    </row>
    <row r="93" spans="1:21" x14ac:dyDescent="0.3">
      <c r="A93" t="s">
        <v>234</v>
      </c>
      <c r="B93" t="s">
        <v>13</v>
      </c>
      <c r="C93" t="s">
        <v>16</v>
      </c>
      <c r="D93">
        <v>0</v>
      </c>
      <c r="E93" t="s">
        <v>15</v>
      </c>
      <c r="F93" t="s">
        <v>16</v>
      </c>
      <c r="G93">
        <v>5708</v>
      </c>
      <c r="H93">
        <v>0</v>
      </c>
      <c r="I93">
        <v>150</v>
      </c>
      <c r="J93">
        <v>360</v>
      </c>
      <c r="K93">
        <v>1</v>
      </c>
      <c r="L93" t="s">
        <v>28</v>
      </c>
      <c r="M93">
        <v>5708</v>
      </c>
      <c r="N93">
        <v>475.66666666666669</v>
      </c>
      <c r="O93" s="3">
        <v>1153.3702253765005</v>
      </c>
      <c r="P93" s="3">
        <v>2.4247446924523484</v>
      </c>
      <c r="Q93" t="s">
        <v>395</v>
      </c>
      <c r="R93" t="s">
        <v>399</v>
      </c>
      <c r="S93" t="s">
        <v>404</v>
      </c>
      <c r="T93">
        <v>0</v>
      </c>
      <c r="U93" t="s">
        <v>417</v>
      </c>
    </row>
    <row r="94" spans="1:21" x14ac:dyDescent="0.3">
      <c r="A94" t="s">
        <v>235</v>
      </c>
      <c r="B94" t="s">
        <v>13</v>
      </c>
      <c r="C94" t="s">
        <v>14</v>
      </c>
      <c r="D94">
        <v>0</v>
      </c>
      <c r="E94" t="s">
        <v>22</v>
      </c>
      <c r="F94" t="s">
        <v>16</v>
      </c>
      <c r="G94">
        <v>3754</v>
      </c>
      <c r="H94">
        <v>3719</v>
      </c>
      <c r="I94">
        <v>118</v>
      </c>
      <c r="J94">
        <v>360</v>
      </c>
      <c r="K94">
        <v>1</v>
      </c>
      <c r="L94" t="s">
        <v>28</v>
      </c>
      <c r="M94">
        <v>7473</v>
      </c>
      <c r="N94">
        <v>622.75</v>
      </c>
      <c r="O94" s="3">
        <v>907.31791062951368</v>
      </c>
      <c r="P94" s="3">
        <v>1.4569536902922742</v>
      </c>
      <c r="Q94" t="s">
        <v>395</v>
      </c>
      <c r="R94" t="s">
        <v>399</v>
      </c>
      <c r="S94" t="s">
        <v>404</v>
      </c>
      <c r="T94">
        <v>0</v>
      </c>
      <c r="U94" t="s">
        <v>417</v>
      </c>
    </row>
    <row r="95" spans="1:21" x14ac:dyDescent="0.3">
      <c r="A95" t="s">
        <v>236</v>
      </c>
      <c r="B95" t="s">
        <v>13</v>
      </c>
      <c r="C95" t="s">
        <v>14</v>
      </c>
      <c r="D95">
        <v>0</v>
      </c>
      <c r="E95" t="s">
        <v>22</v>
      </c>
      <c r="F95" t="s">
        <v>16</v>
      </c>
      <c r="G95">
        <v>2914</v>
      </c>
      <c r="H95">
        <v>2130</v>
      </c>
      <c r="I95">
        <v>150</v>
      </c>
      <c r="J95">
        <v>300</v>
      </c>
      <c r="K95">
        <v>1</v>
      </c>
      <c r="L95" t="s">
        <v>17</v>
      </c>
      <c r="M95">
        <v>5044</v>
      </c>
      <c r="N95">
        <v>420.33333333333331</v>
      </c>
      <c r="O95" s="3">
        <v>1207.840625193197</v>
      </c>
      <c r="P95" s="3">
        <v>2.8735304326562976</v>
      </c>
      <c r="Q95" t="s">
        <v>395</v>
      </c>
      <c r="R95" t="s">
        <v>399</v>
      </c>
      <c r="S95" t="s">
        <v>404</v>
      </c>
      <c r="T95">
        <v>0</v>
      </c>
      <c r="U95" t="s">
        <v>415</v>
      </c>
    </row>
    <row r="96" spans="1:21" x14ac:dyDescent="0.3">
      <c r="A96" t="s">
        <v>237</v>
      </c>
      <c r="B96" t="s">
        <v>13</v>
      </c>
      <c r="C96" t="s">
        <v>14</v>
      </c>
      <c r="D96">
        <v>0</v>
      </c>
      <c r="E96" t="s">
        <v>22</v>
      </c>
      <c r="F96" t="s">
        <v>16</v>
      </c>
      <c r="G96">
        <v>2747</v>
      </c>
      <c r="H96">
        <v>2458</v>
      </c>
      <c r="I96">
        <v>118</v>
      </c>
      <c r="J96">
        <v>36</v>
      </c>
      <c r="K96">
        <v>1</v>
      </c>
      <c r="L96" t="s">
        <v>26</v>
      </c>
      <c r="M96">
        <v>5205</v>
      </c>
      <c r="N96">
        <v>433.75</v>
      </c>
      <c r="O96" s="3">
        <v>3724.9694159797727</v>
      </c>
      <c r="P96" s="3">
        <v>8.5878257428928482</v>
      </c>
      <c r="Q96" t="s">
        <v>395</v>
      </c>
      <c r="R96" t="s">
        <v>399</v>
      </c>
      <c r="S96" t="s">
        <v>404</v>
      </c>
      <c r="T96">
        <v>0</v>
      </c>
      <c r="U96" t="s">
        <v>416</v>
      </c>
    </row>
    <row r="97" spans="1:21" x14ac:dyDescent="0.3">
      <c r="A97" t="s">
        <v>239</v>
      </c>
      <c r="B97" t="s">
        <v>13</v>
      </c>
      <c r="C97" t="s">
        <v>14</v>
      </c>
      <c r="D97">
        <v>1</v>
      </c>
      <c r="E97" t="s">
        <v>15</v>
      </c>
      <c r="F97" t="s">
        <v>14</v>
      </c>
      <c r="G97">
        <v>3507</v>
      </c>
      <c r="H97">
        <v>3148</v>
      </c>
      <c r="I97">
        <v>212</v>
      </c>
      <c r="J97">
        <v>360</v>
      </c>
      <c r="K97">
        <v>1</v>
      </c>
      <c r="L97" t="s">
        <v>28</v>
      </c>
      <c r="M97">
        <v>6655</v>
      </c>
      <c r="N97">
        <v>554.58333333333337</v>
      </c>
      <c r="O97" s="3">
        <v>1630.0965851987874</v>
      </c>
      <c r="P97" s="3">
        <v>2.9393176592615249</v>
      </c>
      <c r="Q97" t="s">
        <v>395</v>
      </c>
      <c r="R97" t="s">
        <v>399</v>
      </c>
      <c r="S97" t="s">
        <v>405</v>
      </c>
      <c r="T97">
        <v>0</v>
      </c>
      <c r="U97" t="s">
        <v>417</v>
      </c>
    </row>
    <row r="98" spans="1:21" x14ac:dyDescent="0.3">
      <c r="A98" t="s">
        <v>240</v>
      </c>
      <c r="B98" t="s">
        <v>13</v>
      </c>
      <c r="C98" t="s">
        <v>14</v>
      </c>
      <c r="D98">
        <v>1</v>
      </c>
      <c r="E98" t="s">
        <v>15</v>
      </c>
      <c r="F98" t="s">
        <v>16</v>
      </c>
      <c r="G98">
        <v>3747</v>
      </c>
      <c r="H98">
        <v>2139</v>
      </c>
      <c r="I98">
        <v>125</v>
      </c>
      <c r="J98">
        <v>360</v>
      </c>
      <c r="K98">
        <v>1</v>
      </c>
      <c r="L98" t="s">
        <v>17</v>
      </c>
      <c r="M98">
        <v>5886</v>
      </c>
      <c r="N98">
        <v>490.5</v>
      </c>
      <c r="O98" s="3">
        <v>961.14185448041712</v>
      </c>
      <c r="P98" s="3">
        <v>1.9595144841598717</v>
      </c>
      <c r="Q98" t="s">
        <v>395</v>
      </c>
      <c r="R98" t="s">
        <v>399</v>
      </c>
      <c r="S98" t="s">
        <v>404</v>
      </c>
      <c r="T98">
        <v>0</v>
      </c>
      <c r="U98" t="s">
        <v>415</v>
      </c>
    </row>
    <row r="99" spans="1:21" x14ac:dyDescent="0.3">
      <c r="A99" t="s">
        <v>242</v>
      </c>
      <c r="B99" t="s">
        <v>13</v>
      </c>
      <c r="C99" t="s">
        <v>14</v>
      </c>
      <c r="D99">
        <v>0</v>
      </c>
      <c r="E99" t="s">
        <v>22</v>
      </c>
      <c r="F99" t="s">
        <v>16</v>
      </c>
      <c r="G99">
        <v>3500</v>
      </c>
      <c r="H99">
        <v>2168</v>
      </c>
      <c r="I99">
        <v>149</v>
      </c>
      <c r="J99">
        <v>360</v>
      </c>
      <c r="K99">
        <v>1</v>
      </c>
      <c r="L99" t="s">
        <v>28</v>
      </c>
      <c r="M99">
        <v>5668</v>
      </c>
      <c r="N99">
        <v>472.33333333333331</v>
      </c>
      <c r="O99" s="3">
        <v>1145.6810905406571</v>
      </c>
      <c r="P99" s="3">
        <v>2.4255774676231274</v>
      </c>
      <c r="Q99" t="s">
        <v>395</v>
      </c>
      <c r="R99" t="s">
        <v>399</v>
      </c>
      <c r="S99" t="s">
        <v>404</v>
      </c>
      <c r="T99">
        <v>0</v>
      </c>
      <c r="U99" t="s">
        <v>417</v>
      </c>
    </row>
    <row r="100" spans="1:21" x14ac:dyDescent="0.3">
      <c r="A100" t="s">
        <v>244</v>
      </c>
      <c r="B100" t="s">
        <v>25</v>
      </c>
      <c r="C100" t="s">
        <v>16</v>
      </c>
      <c r="D100">
        <v>1</v>
      </c>
      <c r="E100" t="s">
        <v>15</v>
      </c>
      <c r="F100" t="s">
        <v>16</v>
      </c>
      <c r="G100">
        <v>5062</v>
      </c>
      <c r="H100">
        <v>0</v>
      </c>
      <c r="I100">
        <v>152</v>
      </c>
      <c r="J100">
        <v>300</v>
      </c>
      <c r="K100">
        <v>1</v>
      </c>
      <c r="L100" t="s">
        <v>28</v>
      </c>
      <c r="M100">
        <v>5062</v>
      </c>
      <c r="N100">
        <v>421.83333333333331</v>
      </c>
      <c r="O100" s="3">
        <v>1223.9451668624395</v>
      </c>
      <c r="P100" s="3">
        <v>2.9014899253949573</v>
      </c>
      <c r="Q100" t="s">
        <v>395</v>
      </c>
      <c r="R100" t="s">
        <v>399</v>
      </c>
      <c r="S100" t="s">
        <v>404</v>
      </c>
      <c r="T100">
        <v>0</v>
      </c>
      <c r="U100" t="s">
        <v>417</v>
      </c>
    </row>
    <row r="101" spans="1:21" x14ac:dyDescent="0.3">
      <c r="A101" t="s">
        <v>245</v>
      </c>
      <c r="B101" t="s">
        <v>25</v>
      </c>
      <c r="C101" t="s">
        <v>16</v>
      </c>
      <c r="D101">
        <v>2</v>
      </c>
      <c r="E101" t="s">
        <v>15</v>
      </c>
      <c r="F101" t="s">
        <v>14</v>
      </c>
      <c r="G101">
        <v>5184</v>
      </c>
      <c r="H101">
        <v>0</v>
      </c>
      <c r="I101">
        <v>187</v>
      </c>
      <c r="J101">
        <v>360</v>
      </c>
      <c r="K101">
        <v>0</v>
      </c>
      <c r="L101" t="s">
        <v>26</v>
      </c>
      <c r="M101">
        <v>5184</v>
      </c>
      <c r="N101">
        <v>432</v>
      </c>
      <c r="O101" s="3">
        <v>1437.8682143027038</v>
      </c>
      <c r="P101" s="3">
        <v>3.3283986442192219</v>
      </c>
      <c r="Q101" t="s">
        <v>394</v>
      </c>
      <c r="R101" t="s">
        <v>399</v>
      </c>
      <c r="S101" t="s">
        <v>404</v>
      </c>
      <c r="T101">
        <v>1</v>
      </c>
      <c r="U101" t="s">
        <v>416</v>
      </c>
    </row>
    <row r="102" spans="1:21" x14ac:dyDescent="0.3">
      <c r="A102" t="s">
        <v>248</v>
      </c>
      <c r="B102" t="s">
        <v>13</v>
      </c>
      <c r="C102" t="s">
        <v>14</v>
      </c>
      <c r="D102">
        <v>1</v>
      </c>
      <c r="E102" t="s">
        <v>15</v>
      </c>
      <c r="F102" t="s">
        <v>16</v>
      </c>
      <c r="G102">
        <v>3436</v>
      </c>
      <c r="H102">
        <v>3809</v>
      </c>
      <c r="I102">
        <v>100</v>
      </c>
      <c r="J102">
        <v>360</v>
      </c>
      <c r="K102">
        <v>1</v>
      </c>
      <c r="L102" t="s">
        <v>28</v>
      </c>
      <c r="M102">
        <v>7245</v>
      </c>
      <c r="N102">
        <v>603.75</v>
      </c>
      <c r="O102" s="3">
        <v>768.91348358433368</v>
      </c>
      <c r="P102" s="3">
        <v>1.2735627057297452</v>
      </c>
      <c r="Q102" t="s">
        <v>395</v>
      </c>
      <c r="R102" t="s">
        <v>399</v>
      </c>
      <c r="S102" t="s">
        <v>404</v>
      </c>
      <c r="T102">
        <v>0</v>
      </c>
      <c r="U102" t="s">
        <v>417</v>
      </c>
    </row>
    <row r="103" spans="1:21" x14ac:dyDescent="0.3">
      <c r="A103" t="s">
        <v>249</v>
      </c>
      <c r="B103" t="s">
        <v>13</v>
      </c>
      <c r="C103" t="s">
        <v>16</v>
      </c>
      <c r="D103">
        <v>0</v>
      </c>
      <c r="E103" t="s">
        <v>15</v>
      </c>
      <c r="F103" t="s">
        <v>16</v>
      </c>
      <c r="G103">
        <v>2412</v>
      </c>
      <c r="H103">
        <v>2755</v>
      </c>
      <c r="I103">
        <v>130</v>
      </c>
      <c r="J103">
        <v>360</v>
      </c>
      <c r="K103">
        <v>1</v>
      </c>
      <c r="L103" t="s">
        <v>28</v>
      </c>
      <c r="M103">
        <v>5167</v>
      </c>
      <c r="N103">
        <v>430.58333333333331</v>
      </c>
      <c r="O103" s="3">
        <v>999.58752865963379</v>
      </c>
      <c r="P103" s="3">
        <v>2.3214728747659388</v>
      </c>
      <c r="Q103" t="s">
        <v>395</v>
      </c>
      <c r="R103" t="s">
        <v>399</v>
      </c>
      <c r="S103" t="s">
        <v>404</v>
      </c>
      <c r="T103">
        <v>0</v>
      </c>
      <c r="U103" t="s">
        <v>417</v>
      </c>
    </row>
    <row r="104" spans="1:21" x14ac:dyDescent="0.3">
      <c r="A104" t="s">
        <v>250</v>
      </c>
      <c r="B104" t="s">
        <v>13</v>
      </c>
      <c r="C104" t="s">
        <v>14</v>
      </c>
      <c r="D104">
        <v>3</v>
      </c>
      <c r="E104" t="s">
        <v>22</v>
      </c>
      <c r="F104" t="s">
        <v>16</v>
      </c>
      <c r="G104">
        <v>5180</v>
      </c>
      <c r="H104">
        <v>0</v>
      </c>
      <c r="I104">
        <v>125</v>
      </c>
      <c r="J104">
        <v>360</v>
      </c>
      <c r="K104">
        <v>0</v>
      </c>
      <c r="L104" t="s">
        <v>17</v>
      </c>
      <c r="M104">
        <v>5180</v>
      </c>
      <c r="N104">
        <v>431.66666666666669</v>
      </c>
      <c r="O104" s="3">
        <v>961.14185448041712</v>
      </c>
      <c r="P104" s="3">
        <v>2.2265834466727807</v>
      </c>
      <c r="Q104" t="s">
        <v>394</v>
      </c>
      <c r="R104" t="s">
        <v>399</v>
      </c>
      <c r="S104" t="s">
        <v>404</v>
      </c>
      <c r="T104">
        <v>1</v>
      </c>
      <c r="U104" t="s">
        <v>415</v>
      </c>
    </row>
    <row r="105" spans="1:21" x14ac:dyDescent="0.3">
      <c r="A105" t="s">
        <v>252</v>
      </c>
      <c r="B105" t="s">
        <v>13</v>
      </c>
      <c r="C105" t="s">
        <v>16</v>
      </c>
      <c r="D105">
        <v>0</v>
      </c>
      <c r="E105" t="s">
        <v>15</v>
      </c>
      <c r="F105" t="s">
        <v>14</v>
      </c>
      <c r="G105">
        <v>2860</v>
      </c>
      <c r="H105">
        <v>2988</v>
      </c>
      <c r="I105">
        <v>138</v>
      </c>
      <c r="J105">
        <v>360</v>
      </c>
      <c r="K105">
        <v>1</v>
      </c>
      <c r="L105" t="s">
        <v>17</v>
      </c>
      <c r="M105">
        <v>5848</v>
      </c>
      <c r="N105">
        <v>487.33333333333331</v>
      </c>
      <c r="O105" s="3">
        <v>1061.1006073463805</v>
      </c>
      <c r="P105" s="3">
        <v>2.1773610273865538</v>
      </c>
      <c r="Q105" t="s">
        <v>395</v>
      </c>
      <c r="R105" t="s">
        <v>399</v>
      </c>
      <c r="S105" t="s">
        <v>404</v>
      </c>
      <c r="T105">
        <v>0</v>
      </c>
      <c r="U105" t="s">
        <v>415</v>
      </c>
    </row>
    <row r="106" spans="1:21" x14ac:dyDescent="0.3">
      <c r="A106" t="s">
        <v>254</v>
      </c>
      <c r="B106" t="s">
        <v>25</v>
      </c>
      <c r="C106" t="s">
        <v>16</v>
      </c>
      <c r="D106">
        <v>1</v>
      </c>
      <c r="E106" t="s">
        <v>15</v>
      </c>
      <c r="F106" t="s">
        <v>16</v>
      </c>
      <c r="G106">
        <v>7600</v>
      </c>
      <c r="H106">
        <v>0</v>
      </c>
      <c r="I106">
        <v>92</v>
      </c>
      <c r="J106">
        <v>360</v>
      </c>
      <c r="K106">
        <v>1</v>
      </c>
      <c r="L106" t="s">
        <v>26</v>
      </c>
      <c r="M106">
        <v>7600</v>
      </c>
      <c r="N106">
        <v>633.33333333333337</v>
      </c>
      <c r="O106" s="3">
        <v>707.4004048975869</v>
      </c>
      <c r="P106" s="3">
        <v>1.1169480077330318</v>
      </c>
      <c r="Q106" t="s">
        <v>395</v>
      </c>
      <c r="R106" t="s">
        <v>399</v>
      </c>
      <c r="S106" t="s">
        <v>406</v>
      </c>
      <c r="T106">
        <v>0</v>
      </c>
      <c r="U106" t="s">
        <v>416</v>
      </c>
    </row>
    <row r="107" spans="1:21" x14ac:dyDescent="0.3">
      <c r="A107" t="s">
        <v>256</v>
      </c>
      <c r="B107" t="s">
        <v>13</v>
      </c>
      <c r="C107" t="s">
        <v>16</v>
      </c>
      <c r="D107">
        <v>0</v>
      </c>
      <c r="E107" t="s">
        <v>15</v>
      </c>
      <c r="F107" t="s">
        <v>16</v>
      </c>
      <c r="G107">
        <v>2231</v>
      </c>
      <c r="H107">
        <v>2774</v>
      </c>
      <c r="I107">
        <v>176</v>
      </c>
      <c r="J107">
        <v>360</v>
      </c>
      <c r="K107">
        <v>0</v>
      </c>
      <c r="L107" t="s">
        <v>17</v>
      </c>
      <c r="M107">
        <v>5005</v>
      </c>
      <c r="N107">
        <v>417.08333333333331</v>
      </c>
      <c r="O107" s="3">
        <v>1353.2877311084274</v>
      </c>
      <c r="P107" s="3">
        <v>3.2446459087514743</v>
      </c>
      <c r="Q107" t="s">
        <v>394</v>
      </c>
      <c r="R107" t="s">
        <v>399</v>
      </c>
      <c r="S107" t="s">
        <v>404</v>
      </c>
      <c r="T107">
        <v>1</v>
      </c>
      <c r="U107" t="s">
        <v>415</v>
      </c>
    </row>
    <row r="108" spans="1:21" x14ac:dyDescent="0.3">
      <c r="A108" t="s">
        <v>257</v>
      </c>
      <c r="B108" t="s">
        <v>25</v>
      </c>
      <c r="C108" t="s">
        <v>16</v>
      </c>
      <c r="D108">
        <v>0</v>
      </c>
      <c r="E108" t="s">
        <v>15</v>
      </c>
      <c r="F108" t="s">
        <v>16</v>
      </c>
      <c r="G108">
        <v>2274</v>
      </c>
      <c r="H108">
        <v>5211</v>
      </c>
      <c r="I108">
        <v>117</v>
      </c>
      <c r="J108">
        <v>360</v>
      </c>
      <c r="K108">
        <v>0</v>
      </c>
      <c r="L108" t="s">
        <v>26</v>
      </c>
      <c r="M108">
        <v>7485</v>
      </c>
      <c r="N108">
        <v>623.75</v>
      </c>
      <c r="O108" s="3">
        <v>899.62877579367034</v>
      </c>
      <c r="P108" s="3">
        <v>1.4422906225149024</v>
      </c>
      <c r="Q108" t="s">
        <v>394</v>
      </c>
      <c r="R108" t="s">
        <v>399</v>
      </c>
      <c r="S108" t="s">
        <v>404</v>
      </c>
      <c r="T108">
        <v>1</v>
      </c>
      <c r="U108" t="s">
        <v>416</v>
      </c>
    </row>
    <row r="109" spans="1:21" x14ac:dyDescent="0.3">
      <c r="A109" t="s">
        <v>262</v>
      </c>
      <c r="B109" t="s">
        <v>13</v>
      </c>
      <c r="C109" t="s">
        <v>14</v>
      </c>
      <c r="D109">
        <v>0</v>
      </c>
      <c r="E109" t="s">
        <v>15</v>
      </c>
      <c r="F109" t="s">
        <v>16</v>
      </c>
      <c r="G109">
        <v>3887</v>
      </c>
      <c r="H109">
        <v>1517</v>
      </c>
      <c r="I109">
        <v>105</v>
      </c>
      <c r="J109">
        <v>360</v>
      </c>
      <c r="K109">
        <v>0</v>
      </c>
      <c r="L109" t="s">
        <v>26</v>
      </c>
      <c r="M109">
        <v>5404</v>
      </c>
      <c r="N109">
        <v>450.33333333333331</v>
      </c>
      <c r="O109" s="3">
        <v>807.35915776355023</v>
      </c>
      <c r="P109" s="3">
        <v>1.7928034591344566</v>
      </c>
      <c r="Q109" t="s">
        <v>394</v>
      </c>
      <c r="R109" t="s">
        <v>399</v>
      </c>
      <c r="S109" t="s">
        <v>404</v>
      </c>
      <c r="T109">
        <v>1</v>
      </c>
      <c r="U109" t="s">
        <v>416</v>
      </c>
    </row>
    <row r="110" spans="1:21" x14ac:dyDescent="0.3">
      <c r="A110" t="s">
        <v>266</v>
      </c>
      <c r="B110" t="s">
        <v>13</v>
      </c>
      <c r="C110" t="s">
        <v>14</v>
      </c>
      <c r="D110">
        <v>0</v>
      </c>
      <c r="E110" t="s">
        <v>15</v>
      </c>
      <c r="F110" t="s">
        <v>16</v>
      </c>
      <c r="G110">
        <v>3186</v>
      </c>
      <c r="H110">
        <v>3145</v>
      </c>
      <c r="I110">
        <v>150</v>
      </c>
      <c r="J110">
        <v>180</v>
      </c>
      <c r="K110">
        <v>0</v>
      </c>
      <c r="L110" t="s">
        <v>26</v>
      </c>
      <c r="M110">
        <v>6331</v>
      </c>
      <c r="N110">
        <v>527.58333333333337</v>
      </c>
      <c r="O110" s="3">
        <v>1477.1093368883899</v>
      </c>
      <c r="P110" s="3">
        <v>2.7997649727784988</v>
      </c>
      <c r="Q110" t="s">
        <v>394</v>
      </c>
      <c r="R110" t="s">
        <v>399</v>
      </c>
      <c r="S110" t="s">
        <v>404</v>
      </c>
      <c r="T110">
        <v>1</v>
      </c>
      <c r="U110" t="s">
        <v>416</v>
      </c>
    </row>
    <row r="111" spans="1:21" x14ac:dyDescent="0.3">
      <c r="A111" t="s">
        <v>267</v>
      </c>
      <c r="B111" t="s">
        <v>13</v>
      </c>
      <c r="C111" t="s">
        <v>14</v>
      </c>
      <c r="D111">
        <v>2</v>
      </c>
      <c r="E111" t="s">
        <v>15</v>
      </c>
      <c r="F111" t="s">
        <v>14</v>
      </c>
      <c r="G111">
        <v>5000</v>
      </c>
      <c r="H111">
        <v>2166</v>
      </c>
      <c r="I111">
        <v>150</v>
      </c>
      <c r="J111">
        <v>360</v>
      </c>
      <c r="K111">
        <v>1</v>
      </c>
      <c r="L111" t="s">
        <v>17</v>
      </c>
      <c r="M111">
        <v>7166</v>
      </c>
      <c r="N111">
        <v>597.16666666666663</v>
      </c>
      <c r="O111" s="3">
        <v>1153.3702253765005</v>
      </c>
      <c r="P111" s="3">
        <v>1.9314042289307851</v>
      </c>
      <c r="Q111" t="s">
        <v>395</v>
      </c>
      <c r="R111" t="s">
        <v>399</v>
      </c>
      <c r="S111" t="s">
        <v>404</v>
      </c>
      <c r="T111">
        <v>0</v>
      </c>
      <c r="U111" t="s">
        <v>415</v>
      </c>
    </row>
    <row r="112" spans="1:21" x14ac:dyDescent="0.3">
      <c r="A112" t="s">
        <v>274</v>
      </c>
      <c r="B112" t="s">
        <v>13</v>
      </c>
      <c r="C112" t="s">
        <v>14</v>
      </c>
      <c r="D112">
        <v>2</v>
      </c>
      <c r="E112" t="s">
        <v>15</v>
      </c>
      <c r="F112" t="s">
        <v>16</v>
      </c>
      <c r="G112">
        <v>4010</v>
      </c>
      <c r="H112">
        <v>1025</v>
      </c>
      <c r="I112">
        <v>120</v>
      </c>
      <c r="J112">
        <v>360</v>
      </c>
      <c r="K112">
        <v>1</v>
      </c>
      <c r="L112" t="s">
        <v>17</v>
      </c>
      <c r="M112">
        <v>5035</v>
      </c>
      <c r="N112">
        <v>419.58333333333331</v>
      </c>
      <c r="O112" s="3">
        <v>922.69618030120034</v>
      </c>
      <c r="P112" s="3">
        <v>2.199077291681113</v>
      </c>
      <c r="Q112" t="s">
        <v>395</v>
      </c>
      <c r="R112" t="s">
        <v>399</v>
      </c>
      <c r="S112" t="s">
        <v>404</v>
      </c>
      <c r="T112">
        <v>0</v>
      </c>
      <c r="U112" t="s">
        <v>415</v>
      </c>
    </row>
    <row r="113" spans="1:21" x14ac:dyDescent="0.3">
      <c r="A113" t="s">
        <v>275</v>
      </c>
      <c r="B113" t="s">
        <v>25</v>
      </c>
      <c r="C113" t="s">
        <v>14</v>
      </c>
      <c r="D113">
        <v>1</v>
      </c>
      <c r="E113" t="s">
        <v>15</v>
      </c>
      <c r="F113" t="s">
        <v>16</v>
      </c>
      <c r="G113">
        <v>3719</v>
      </c>
      <c r="H113">
        <v>1585</v>
      </c>
      <c r="I113">
        <v>114</v>
      </c>
      <c r="J113">
        <v>360</v>
      </c>
      <c r="K113">
        <v>1</v>
      </c>
      <c r="L113" t="s">
        <v>17</v>
      </c>
      <c r="M113">
        <v>5304</v>
      </c>
      <c r="N113">
        <v>442</v>
      </c>
      <c r="O113" s="3">
        <v>876.56137128614034</v>
      </c>
      <c r="P113" s="3">
        <v>1.9831705232718106</v>
      </c>
      <c r="Q113" t="s">
        <v>395</v>
      </c>
      <c r="R113" t="s">
        <v>399</v>
      </c>
      <c r="S113" t="s">
        <v>404</v>
      </c>
      <c r="T113">
        <v>0</v>
      </c>
      <c r="U113" t="s">
        <v>415</v>
      </c>
    </row>
    <row r="114" spans="1:21" x14ac:dyDescent="0.3">
      <c r="A114" t="s">
        <v>278</v>
      </c>
      <c r="B114" t="s">
        <v>13</v>
      </c>
      <c r="C114" t="s">
        <v>14</v>
      </c>
      <c r="D114">
        <v>0</v>
      </c>
      <c r="E114" t="s">
        <v>15</v>
      </c>
      <c r="F114" t="s">
        <v>16</v>
      </c>
      <c r="G114">
        <v>3333</v>
      </c>
      <c r="H114">
        <v>4288</v>
      </c>
      <c r="I114">
        <v>160</v>
      </c>
      <c r="J114">
        <v>360</v>
      </c>
      <c r="K114">
        <v>1</v>
      </c>
      <c r="L114" t="s">
        <v>17</v>
      </c>
      <c r="M114">
        <v>7621</v>
      </c>
      <c r="N114">
        <v>635.08333333333337</v>
      </c>
      <c r="O114" s="3">
        <v>1230.2615737349338</v>
      </c>
      <c r="P114" s="3">
        <v>1.9371655799526577</v>
      </c>
      <c r="Q114" t="s">
        <v>395</v>
      </c>
      <c r="R114" t="s">
        <v>399</v>
      </c>
      <c r="S114" t="s">
        <v>404</v>
      </c>
      <c r="T114">
        <v>0</v>
      </c>
      <c r="U114" t="s">
        <v>415</v>
      </c>
    </row>
    <row r="115" spans="1:21" x14ac:dyDescent="0.3">
      <c r="A115" t="s">
        <v>279</v>
      </c>
      <c r="B115" t="s">
        <v>13</v>
      </c>
      <c r="C115" t="s">
        <v>14</v>
      </c>
      <c r="D115">
        <v>0</v>
      </c>
      <c r="E115" t="s">
        <v>15</v>
      </c>
      <c r="F115" t="s">
        <v>16</v>
      </c>
      <c r="G115">
        <v>3007</v>
      </c>
      <c r="H115">
        <v>3725</v>
      </c>
      <c r="I115">
        <v>151</v>
      </c>
      <c r="J115">
        <v>360</v>
      </c>
      <c r="K115">
        <v>1</v>
      </c>
      <c r="L115" t="s">
        <v>28</v>
      </c>
      <c r="M115">
        <v>6732</v>
      </c>
      <c r="N115">
        <v>561</v>
      </c>
      <c r="O115" s="3">
        <v>1161.0593602123438</v>
      </c>
      <c r="P115" s="3">
        <v>2.069624528007743</v>
      </c>
      <c r="Q115" t="s">
        <v>395</v>
      </c>
      <c r="R115" t="s">
        <v>399</v>
      </c>
      <c r="S115" t="s">
        <v>404</v>
      </c>
      <c r="T115">
        <v>0</v>
      </c>
      <c r="U115" t="s">
        <v>417</v>
      </c>
    </row>
    <row r="116" spans="1:21" x14ac:dyDescent="0.3">
      <c r="A116" t="s">
        <v>280</v>
      </c>
      <c r="B116" t="s">
        <v>25</v>
      </c>
      <c r="C116" t="s">
        <v>16</v>
      </c>
      <c r="D116">
        <v>1</v>
      </c>
      <c r="E116" t="s">
        <v>15</v>
      </c>
      <c r="F116" t="s">
        <v>16</v>
      </c>
      <c r="G116">
        <v>1850</v>
      </c>
      <c r="H116">
        <v>4583</v>
      </c>
      <c r="I116">
        <v>81</v>
      </c>
      <c r="J116">
        <v>360</v>
      </c>
      <c r="K116">
        <v>0</v>
      </c>
      <c r="L116" t="s">
        <v>28</v>
      </c>
      <c r="M116">
        <v>6433</v>
      </c>
      <c r="N116">
        <v>536.08333333333337</v>
      </c>
      <c r="O116" s="3">
        <v>622.81992170331023</v>
      </c>
      <c r="P116" s="3">
        <v>1.161796838246498</v>
      </c>
      <c r="Q116" t="s">
        <v>394</v>
      </c>
      <c r="R116" t="s">
        <v>399</v>
      </c>
      <c r="S116" t="s">
        <v>406</v>
      </c>
      <c r="T116">
        <v>1</v>
      </c>
      <c r="U116" t="s">
        <v>417</v>
      </c>
    </row>
    <row r="117" spans="1:21" x14ac:dyDescent="0.3">
      <c r="A117" t="s">
        <v>281</v>
      </c>
      <c r="B117" t="s">
        <v>13</v>
      </c>
      <c r="C117" t="s">
        <v>14</v>
      </c>
      <c r="D117">
        <v>3</v>
      </c>
      <c r="E117" t="s">
        <v>22</v>
      </c>
      <c r="F117" t="s">
        <v>16</v>
      </c>
      <c r="G117">
        <v>2792</v>
      </c>
      <c r="H117">
        <v>2619</v>
      </c>
      <c r="I117">
        <v>171</v>
      </c>
      <c r="J117">
        <v>360</v>
      </c>
      <c r="K117">
        <v>1</v>
      </c>
      <c r="L117" t="s">
        <v>26</v>
      </c>
      <c r="M117">
        <v>5411</v>
      </c>
      <c r="N117">
        <v>450.91666666666669</v>
      </c>
      <c r="O117" s="3">
        <v>1314.8420569292107</v>
      </c>
      <c r="P117" s="3">
        <v>2.9159313774072313</v>
      </c>
      <c r="Q117" t="s">
        <v>395</v>
      </c>
      <c r="R117" t="s">
        <v>399</v>
      </c>
      <c r="S117" t="s">
        <v>404</v>
      </c>
      <c r="T117">
        <v>0</v>
      </c>
      <c r="U117" t="s">
        <v>416</v>
      </c>
    </row>
    <row r="118" spans="1:21" x14ac:dyDescent="0.3">
      <c r="A118" t="s">
        <v>286</v>
      </c>
      <c r="B118" t="s">
        <v>13</v>
      </c>
      <c r="C118" t="s">
        <v>16</v>
      </c>
      <c r="D118">
        <v>0</v>
      </c>
      <c r="E118" t="s">
        <v>15</v>
      </c>
      <c r="F118" t="s">
        <v>16</v>
      </c>
      <c r="G118">
        <v>3579</v>
      </c>
      <c r="H118">
        <v>3308</v>
      </c>
      <c r="I118">
        <v>138</v>
      </c>
      <c r="J118">
        <v>360</v>
      </c>
      <c r="K118">
        <v>0</v>
      </c>
      <c r="L118" t="s">
        <v>26</v>
      </c>
      <c r="M118">
        <v>6887</v>
      </c>
      <c r="N118">
        <v>573.91666666666663</v>
      </c>
      <c r="O118" s="3">
        <v>1061.1006073463805</v>
      </c>
      <c r="P118" s="3">
        <v>1.8488757496960311</v>
      </c>
      <c r="Q118" t="s">
        <v>394</v>
      </c>
      <c r="R118" t="s">
        <v>399</v>
      </c>
      <c r="S118" t="s">
        <v>404</v>
      </c>
      <c r="T118">
        <v>1</v>
      </c>
      <c r="U118" t="s">
        <v>416</v>
      </c>
    </row>
    <row r="119" spans="1:21" x14ac:dyDescent="0.3">
      <c r="A119" t="s">
        <v>287</v>
      </c>
      <c r="B119" t="s">
        <v>25</v>
      </c>
      <c r="C119" t="s">
        <v>14</v>
      </c>
      <c r="D119">
        <v>1</v>
      </c>
      <c r="E119" t="s">
        <v>22</v>
      </c>
      <c r="F119" t="s">
        <v>16</v>
      </c>
      <c r="G119">
        <v>3835</v>
      </c>
      <c r="H119">
        <v>1400</v>
      </c>
      <c r="I119">
        <v>112</v>
      </c>
      <c r="J119">
        <v>480</v>
      </c>
      <c r="K119">
        <v>0</v>
      </c>
      <c r="L119" t="s">
        <v>17</v>
      </c>
      <c r="M119">
        <v>5235</v>
      </c>
      <c r="N119">
        <v>436.25</v>
      </c>
      <c r="O119" s="3">
        <v>821.06535648340162</v>
      </c>
      <c r="P119" s="3">
        <v>1.8820982383573677</v>
      </c>
      <c r="Q119" t="s">
        <v>394</v>
      </c>
      <c r="R119" t="s">
        <v>399</v>
      </c>
      <c r="S119" t="s">
        <v>404</v>
      </c>
      <c r="T119">
        <v>1</v>
      </c>
      <c r="U119" t="s">
        <v>415</v>
      </c>
    </row>
    <row r="120" spans="1:21" x14ac:dyDescent="0.3">
      <c r="A120" t="s">
        <v>288</v>
      </c>
      <c r="B120" t="s">
        <v>25</v>
      </c>
      <c r="C120" t="s">
        <v>16</v>
      </c>
      <c r="D120">
        <v>1</v>
      </c>
      <c r="E120" t="s">
        <v>22</v>
      </c>
      <c r="F120" t="s">
        <v>16</v>
      </c>
      <c r="G120">
        <v>3854</v>
      </c>
      <c r="H120">
        <v>3575</v>
      </c>
      <c r="I120">
        <v>117</v>
      </c>
      <c r="J120">
        <v>360</v>
      </c>
      <c r="K120">
        <v>1</v>
      </c>
      <c r="L120" t="s">
        <v>28</v>
      </c>
      <c r="M120">
        <v>7429</v>
      </c>
      <c r="N120">
        <v>619.08333333333337</v>
      </c>
      <c r="O120" s="3">
        <v>899.62877579367034</v>
      </c>
      <c r="P120" s="3">
        <v>1.4531626476677943</v>
      </c>
      <c r="Q120" t="s">
        <v>395</v>
      </c>
      <c r="R120" t="s">
        <v>399</v>
      </c>
      <c r="S120" t="s">
        <v>404</v>
      </c>
      <c r="T120">
        <v>0</v>
      </c>
      <c r="U120" t="s">
        <v>417</v>
      </c>
    </row>
    <row r="121" spans="1:21" x14ac:dyDescent="0.3">
      <c r="A121" t="s">
        <v>289</v>
      </c>
      <c r="B121" t="s">
        <v>13</v>
      </c>
      <c r="C121" t="s">
        <v>14</v>
      </c>
      <c r="D121">
        <v>2</v>
      </c>
      <c r="E121" t="s">
        <v>15</v>
      </c>
      <c r="F121" t="s">
        <v>16</v>
      </c>
      <c r="G121">
        <v>5833</v>
      </c>
      <c r="H121">
        <v>750</v>
      </c>
      <c r="I121">
        <v>49</v>
      </c>
      <c r="J121">
        <v>360</v>
      </c>
      <c r="K121">
        <v>0</v>
      </c>
      <c r="L121" t="s">
        <v>28</v>
      </c>
      <c r="M121">
        <v>6583</v>
      </c>
      <c r="N121">
        <v>548.58333333333337</v>
      </c>
      <c r="O121" s="3">
        <v>376.7676069563235</v>
      </c>
      <c r="P121" s="3">
        <v>0.68680104564421718</v>
      </c>
      <c r="Q121" t="s">
        <v>394</v>
      </c>
      <c r="R121" t="s">
        <v>399</v>
      </c>
      <c r="S121" t="s">
        <v>406</v>
      </c>
      <c r="T121">
        <v>1</v>
      </c>
      <c r="U121" t="s">
        <v>417</v>
      </c>
    </row>
    <row r="122" spans="1:21" x14ac:dyDescent="0.3">
      <c r="A122" t="s">
        <v>292</v>
      </c>
      <c r="B122" t="s">
        <v>25</v>
      </c>
      <c r="C122" t="s">
        <v>16</v>
      </c>
      <c r="D122">
        <v>0</v>
      </c>
      <c r="E122" t="s">
        <v>15</v>
      </c>
      <c r="F122" t="s">
        <v>14</v>
      </c>
      <c r="G122">
        <v>3333</v>
      </c>
      <c r="H122">
        <v>3916</v>
      </c>
      <c r="I122">
        <v>212</v>
      </c>
      <c r="J122">
        <v>360</v>
      </c>
      <c r="K122">
        <v>1</v>
      </c>
      <c r="L122" t="s">
        <v>28</v>
      </c>
      <c r="M122">
        <v>7249</v>
      </c>
      <c r="N122">
        <v>604.08333333333337</v>
      </c>
      <c r="O122" s="3">
        <v>1630.0965851987874</v>
      </c>
      <c r="P122" s="3">
        <v>2.6984631014464679</v>
      </c>
      <c r="Q122" t="s">
        <v>395</v>
      </c>
      <c r="R122" t="s">
        <v>399</v>
      </c>
      <c r="S122" t="s">
        <v>405</v>
      </c>
      <c r="T122">
        <v>0</v>
      </c>
      <c r="U122" t="s">
        <v>417</v>
      </c>
    </row>
    <row r="123" spans="1:21" x14ac:dyDescent="0.3">
      <c r="A123" t="s">
        <v>294</v>
      </c>
      <c r="B123" t="s">
        <v>13</v>
      </c>
      <c r="C123" t="s">
        <v>14</v>
      </c>
      <c r="D123">
        <v>2</v>
      </c>
      <c r="E123" t="s">
        <v>15</v>
      </c>
      <c r="F123" t="s">
        <v>16</v>
      </c>
      <c r="G123">
        <v>5667</v>
      </c>
      <c r="H123">
        <v>440</v>
      </c>
      <c r="I123">
        <v>130</v>
      </c>
      <c r="J123">
        <v>360</v>
      </c>
      <c r="K123">
        <v>0</v>
      </c>
      <c r="L123" t="s">
        <v>26</v>
      </c>
      <c r="M123">
        <v>6107</v>
      </c>
      <c r="N123">
        <v>508.91666666666669</v>
      </c>
      <c r="O123" s="3">
        <v>999.58752865963379</v>
      </c>
      <c r="P123" s="3">
        <v>1.9641477556763722</v>
      </c>
      <c r="Q123" t="s">
        <v>394</v>
      </c>
      <c r="R123" t="s">
        <v>399</v>
      </c>
      <c r="S123" t="s">
        <v>404</v>
      </c>
      <c r="T123">
        <v>1</v>
      </c>
      <c r="U123" t="s">
        <v>416</v>
      </c>
    </row>
    <row r="124" spans="1:21" x14ac:dyDescent="0.3">
      <c r="A124" t="s">
        <v>297</v>
      </c>
      <c r="B124" t="s">
        <v>13</v>
      </c>
      <c r="C124" t="s">
        <v>14</v>
      </c>
      <c r="D124">
        <v>0</v>
      </c>
      <c r="E124" t="s">
        <v>15</v>
      </c>
      <c r="F124" t="s">
        <v>16</v>
      </c>
      <c r="G124">
        <v>6500</v>
      </c>
      <c r="H124">
        <v>0</v>
      </c>
      <c r="I124">
        <v>144</v>
      </c>
      <c r="J124">
        <v>360</v>
      </c>
      <c r="K124">
        <v>1</v>
      </c>
      <c r="L124" t="s">
        <v>17</v>
      </c>
      <c r="M124">
        <v>6500</v>
      </c>
      <c r="N124">
        <v>541.66666666666663</v>
      </c>
      <c r="O124" s="3">
        <v>1107.2354163614405</v>
      </c>
      <c r="P124" s="3">
        <v>2.0441269225134286</v>
      </c>
      <c r="Q124" t="s">
        <v>395</v>
      </c>
      <c r="R124" t="s">
        <v>399</v>
      </c>
      <c r="S124" t="s">
        <v>404</v>
      </c>
      <c r="T124">
        <v>0</v>
      </c>
      <c r="U124" t="s">
        <v>415</v>
      </c>
    </row>
    <row r="125" spans="1:21" x14ac:dyDescent="0.3">
      <c r="A125" t="s">
        <v>298</v>
      </c>
      <c r="B125" t="s">
        <v>25</v>
      </c>
      <c r="C125" t="s">
        <v>16</v>
      </c>
      <c r="D125">
        <v>0</v>
      </c>
      <c r="E125" t="s">
        <v>15</v>
      </c>
      <c r="F125" t="s">
        <v>16</v>
      </c>
      <c r="G125">
        <v>5769</v>
      </c>
      <c r="H125">
        <v>0</v>
      </c>
      <c r="I125">
        <v>110</v>
      </c>
      <c r="J125">
        <v>180</v>
      </c>
      <c r="K125">
        <v>1</v>
      </c>
      <c r="L125" t="s">
        <v>26</v>
      </c>
      <c r="M125">
        <v>5769</v>
      </c>
      <c r="N125">
        <v>480.75</v>
      </c>
      <c r="O125" s="3">
        <v>1083.2135137181526</v>
      </c>
      <c r="P125" s="3">
        <v>2.2531742355031774</v>
      </c>
      <c r="Q125" t="s">
        <v>395</v>
      </c>
      <c r="R125" t="s">
        <v>399</v>
      </c>
      <c r="S125" t="s">
        <v>404</v>
      </c>
      <c r="T125">
        <v>0</v>
      </c>
      <c r="U125" t="s">
        <v>416</v>
      </c>
    </row>
    <row r="126" spans="1:21" x14ac:dyDescent="0.3">
      <c r="A126" t="s">
        <v>302</v>
      </c>
      <c r="B126" t="s">
        <v>13</v>
      </c>
      <c r="C126" t="s">
        <v>14</v>
      </c>
      <c r="D126">
        <v>0</v>
      </c>
      <c r="E126" t="s">
        <v>15</v>
      </c>
      <c r="F126" t="s">
        <v>16</v>
      </c>
      <c r="G126">
        <v>5000</v>
      </c>
      <c r="H126">
        <v>0</v>
      </c>
      <c r="I126">
        <v>126</v>
      </c>
      <c r="J126">
        <v>360</v>
      </c>
      <c r="K126">
        <v>1</v>
      </c>
      <c r="L126" t="s">
        <v>28</v>
      </c>
      <c r="M126">
        <v>5000</v>
      </c>
      <c r="N126">
        <v>416.66666666666669</v>
      </c>
      <c r="O126" s="3">
        <v>968.83098931626046</v>
      </c>
      <c r="P126" s="3">
        <v>2.3251943743590249</v>
      </c>
      <c r="Q126" t="s">
        <v>395</v>
      </c>
      <c r="R126" t="s">
        <v>399</v>
      </c>
      <c r="S126" t="s">
        <v>404</v>
      </c>
      <c r="T126">
        <v>0</v>
      </c>
      <c r="U126" t="s">
        <v>417</v>
      </c>
    </row>
    <row r="127" spans="1:21" x14ac:dyDescent="0.3">
      <c r="A127" t="s">
        <v>303</v>
      </c>
      <c r="B127" t="s">
        <v>25</v>
      </c>
      <c r="C127" t="s">
        <v>16</v>
      </c>
      <c r="D127">
        <v>0</v>
      </c>
      <c r="E127" t="s">
        <v>15</v>
      </c>
      <c r="F127" t="s">
        <v>16</v>
      </c>
      <c r="G127">
        <v>5530</v>
      </c>
      <c r="H127">
        <v>0</v>
      </c>
      <c r="I127">
        <v>135</v>
      </c>
      <c r="J127">
        <v>360</v>
      </c>
      <c r="K127">
        <v>0</v>
      </c>
      <c r="L127" t="s">
        <v>17</v>
      </c>
      <c r="M127">
        <v>5530</v>
      </c>
      <c r="N127">
        <v>460.83333333333331</v>
      </c>
      <c r="O127" s="3">
        <v>1038.0332028388502</v>
      </c>
      <c r="P127" s="3">
        <v>2.2525132792163118</v>
      </c>
      <c r="Q127" t="s">
        <v>394</v>
      </c>
      <c r="R127" t="s">
        <v>399</v>
      </c>
      <c r="S127" t="s">
        <v>404</v>
      </c>
      <c r="T127">
        <v>1</v>
      </c>
      <c r="U127" t="s">
        <v>415</v>
      </c>
    </row>
    <row r="128" spans="1:21" x14ac:dyDescent="0.3">
      <c r="A128" t="s">
        <v>304</v>
      </c>
      <c r="B128" t="s">
        <v>13</v>
      </c>
      <c r="C128" t="s">
        <v>16</v>
      </c>
      <c r="D128">
        <v>0</v>
      </c>
      <c r="E128" t="s">
        <v>22</v>
      </c>
      <c r="F128" t="s">
        <v>16</v>
      </c>
      <c r="G128">
        <v>9000</v>
      </c>
      <c r="H128">
        <v>0</v>
      </c>
      <c r="I128">
        <v>122</v>
      </c>
      <c r="J128">
        <v>360</v>
      </c>
      <c r="K128">
        <v>1</v>
      </c>
      <c r="L128" t="s">
        <v>28</v>
      </c>
      <c r="M128">
        <v>9000</v>
      </c>
      <c r="N128">
        <v>750</v>
      </c>
      <c r="O128" s="3">
        <v>938.07444997288701</v>
      </c>
      <c r="P128" s="3">
        <v>1.2507659332971828</v>
      </c>
      <c r="Q128" t="s">
        <v>395</v>
      </c>
      <c r="R128" t="s">
        <v>399</v>
      </c>
      <c r="S128" t="s">
        <v>404</v>
      </c>
      <c r="T128">
        <v>0</v>
      </c>
      <c r="U128" t="s">
        <v>417</v>
      </c>
    </row>
    <row r="129" spans="1:21" x14ac:dyDescent="0.3">
      <c r="A129" t="s">
        <v>306</v>
      </c>
      <c r="B129" t="s">
        <v>13</v>
      </c>
      <c r="C129" t="s">
        <v>14</v>
      </c>
      <c r="D129">
        <v>1</v>
      </c>
      <c r="E129" t="s">
        <v>15</v>
      </c>
      <c r="F129" t="s">
        <v>16</v>
      </c>
      <c r="G129">
        <v>8750</v>
      </c>
      <c r="H129">
        <v>0</v>
      </c>
      <c r="I129">
        <v>297</v>
      </c>
      <c r="J129">
        <v>360</v>
      </c>
      <c r="K129">
        <v>1</v>
      </c>
      <c r="L129" t="s">
        <v>17</v>
      </c>
      <c r="M129">
        <v>8750</v>
      </c>
      <c r="N129">
        <v>729.16666666666663</v>
      </c>
      <c r="O129" s="3">
        <v>2283.6730462454707</v>
      </c>
      <c r="P129" s="3">
        <v>3.13189446342236</v>
      </c>
      <c r="Q129" t="s">
        <v>395</v>
      </c>
      <c r="R129" t="s">
        <v>399</v>
      </c>
      <c r="S129" t="s">
        <v>405</v>
      </c>
      <c r="T129">
        <v>0</v>
      </c>
      <c r="U129" t="s">
        <v>415</v>
      </c>
    </row>
    <row r="130" spans="1:21" x14ac:dyDescent="0.3">
      <c r="A130" t="s">
        <v>308</v>
      </c>
      <c r="B130" t="s">
        <v>13</v>
      </c>
      <c r="C130" t="s">
        <v>16</v>
      </c>
      <c r="D130">
        <v>0</v>
      </c>
      <c r="E130" t="s">
        <v>15</v>
      </c>
      <c r="F130" t="s">
        <v>16</v>
      </c>
      <c r="G130">
        <v>1972</v>
      </c>
      <c r="H130">
        <v>4347</v>
      </c>
      <c r="I130">
        <v>106</v>
      </c>
      <c r="J130">
        <v>360</v>
      </c>
      <c r="K130">
        <v>1</v>
      </c>
      <c r="L130" t="s">
        <v>28</v>
      </c>
      <c r="M130">
        <v>6319</v>
      </c>
      <c r="N130">
        <v>526.58333333333337</v>
      </c>
      <c r="O130" s="3">
        <v>815.04829259939368</v>
      </c>
      <c r="P130" s="3">
        <v>1.5478049550866788</v>
      </c>
      <c r="Q130" t="s">
        <v>395</v>
      </c>
      <c r="R130" t="s">
        <v>399</v>
      </c>
      <c r="S130" t="s">
        <v>404</v>
      </c>
      <c r="T130">
        <v>0</v>
      </c>
      <c r="U130" t="s">
        <v>417</v>
      </c>
    </row>
    <row r="131" spans="1:21" x14ac:dyDescent="0.3">
      <c r="A131" t="s">
        <v>311</v>
      </c>
      <c r="B131" t="s">
        <v>13</v>
      </c>
      <c r="C131" t="s">
        <v>14</v>
      </c>
      <c r="D131">
        <v>0</v>
      </c>
      <c r="E131" t="s">
        <v>15</v>
      </c>
      <c r="F131" t="s">
        <v>16</v>
      </c>
      <c r="G131">
        <v>3667</v>
      </c>
      <c r="H131">
        <v>2000</v>
      </c>
      <c r="I131">
        <v>170</v>
      </c>
      <c r="J131">
        <v>360</v>
      </c>
      <c r="K131">
        <v>1</v>
      </c>
      <c r="L131" t="s">
        <v>26</v>
      </c>
      <c r="M131">
        <v>5667</v>
      </c>
      <c r="N131">
        <v>472.25</v>
      </c>
      <c r="O131" s="3">
        <v>1307.1529220933671</v>
      </c>
      <c r="P131" s="3">
        <v>2.7679257217434983</v>
      </c>
      <c r="Q131" t="s">
        <v>395</v>
      </c>
      <c r="R131" t="s">
        <v>399</v>
      </c>
      <c r="S131" t="s">
        <v>404</v>
      </c>
      <c r="T131">
        <v>0</v>
      </c>
      <c r="U131" t="s">
        <v>416</v>
      </c>
    </row>
    <row r="132" spans="1:21" x14ac:dyDescent="0.3">
      <c r="A132" t="s">
        <v>312</v>
      </c>
      <c r="B132" t="s">
        <v>13</v>
      </c>
      <c r="C132" t="s">
        <v>14</v>
      </c>
      <c r="D132">
        <v>2</v>
      </c>
      <c r="E132" t="s">
        <v>15</v>
      </c>
      <c r="F132" t="s">
        <v>16</v>
      </c>
      <c r="G132">
        <v>3166</v>
      </c>
      <c r="H132">
        <v>2833</v>
      </c>
      <c r="I132">
        <v>145</v>
      </c>
      <c r="J132">
        <v>360</v>
      </c>
      <c r="K132">
        <v>1</v>
      </c>
      <c r="L132" t="s">
        <v>17</v>
      </c>
      <c r="M132">
        <v>5999</v>
      </c>
      <c r="N132">
        <v>499.91666666666669</v>
      </c>
      <c r="O132" s="3">
        <v>1114.9245511972838</v>
      </c>
      <c r="P132" s="3">
        <v>2.2302208058622113</v>
      </c>
      <c r="Q132" t="s">
        <v>395</v>
      </c>
      <c r="R132" t="s">
        <v>399</v>
      </c>
      <c r="S132" t="s">
        <v>404</v>
      </c>
      <c r="T132">
        <v>0</v>
      </c>
      <c r="U132" t="s">
        <v>415</v>
      </c>
    </row>
    <row r="133" spans="1:21" x14ac:dyDescent="0.3">
      <c r="A133" t="s">
        <v>317</v>
      </c>
      <c r="B133" t="s">
        <v>13</v>
      </c>
      <c r="C133" t="s">
        <v>16</v>
      </c>
      <c r="D133">
        <v>0</v>
      </c>
      <c r="E133" t="s">
        <v>15</v>
      </c>
      <c r="F133" t="s">
        <v>16</v>
      </c>
      <c r="G133">
        <v>6478</v>
      </c>
      <c r="H133">
        <v>0</v>
      </c>
      <c r="I133">
        <v>108</v>
      </c>
      <c r="J133">
        <v>360</v>
      </c>
      <c r="K133">
        <v>1</v>
      </c>
      <c r="L133" t="s">
        <v>26</v>
      </c>
      <c r="M133">
        <v>6478</v>
      </c>
      <c r="N133">
        <v>539.83333333333337</v>
      </c>
      <c r="O133" s="3">
        <v>830.42656227108023</v>
      </c>
      <c r="P133" s="3">
        <v>1.53830175165992</v>
      </c>
      <c r="Q133" t="s">
        <v>395</v>
      </c>
      <c r="R133" t="s">
        <v>399</v>
      </c>
      <c r="S133" t="s">
        <v>404</v>
      </c>
      <c r="T133">
        <v>0</v>
      </c>
      <c r="U133" t="s">
        <v>416</v>
      </c>
    </row>
    <row r="134" spans="1:21" x14ac:dyDescent="0.3">
      <c r="A134" t="s">
        <v>321</v>
      </c>
      <c r="B134" t="s">
        <v>13</v>
      </c>
      <c r="C134" t="s">
        <v>14</v>
      </c>
      <c r="D134">
        <v>1</v>
      </c>
      <c r="E134" t="s">
        <v>15</v>
      </c>
      <c r="F134" t="s">
        <v>14</v>
      </c>
      <c r="G134">
        <v>7500</v>
      </c>
      <c r="H134">
        <v>0</v>
      </c>
      <c r="I134">
        <v>75</v>
      </c>
      <c r="J134">
        <v>360</v>
      </c>
      <c r="K134">
        <v>1</v>
      </c>
      <c r="L134" t="s">
        <v>17</v>
      </c>
      <c r="M134">
        <v>7500</v>
      </c>
      <c r="N134">
        <v>625</v>
      </c>
      <c r="O134" s="3">
        <v>576.68511268825023</v>
      </c>
      <c r="P134" s="3">
        <v>0.92269618030120037</v>
      </c>
      <c r="Q134" t="s">
        <v>395</v>
      </c>
      <c r="R134" t="s">
        <v>399</v>
      </c>
      <c r="S134" t="s">
        <v>406</v>
      </c>
      <c r="T134">
        <v>0</v>
      </c>
      <c r="U134" t="s">
        <v>415</v>
      </c>
    </row>
    <row r="135" spans="1:21" x14ac:dyDescent="0.3">
      <c r="A135" t="s">
        <v>322</v>
      </c>
      <c r="B135" t="s">
        <v>13</v>
      </c>
      <c r="C135" t="s">
        <v>14</v>
      </c>
      <c r="D135">
        <v>1</v>
      </c>
      <c r="E135" t="s">
        <v>15</v>
      </c>
      <c r="F135" t="s">
        <v>16</v>
      </c>
      <c r="G135">
        <v>6300</v>
      </c>
      <c r="H135">
        <v>0</v>
      </c>
      <c r="I135">
        <v>125</v>
      </c>
      <c r="J135">
        <v>360</v>
      </c>
      <c r="K135">
        <v>0</v>
      </c>
      <c r="L135" t="s">
        <v>17</v>
      </c>
      <c r="M135">
        <v>6300</v>
      </c>
      <c r="N135">
        <v>525</v>
      </c>
      <c r="O135" s="3">
        <v>961.14185448041712</v>
      </c>
      <c r="P135" s="3">
        <v>1.8307463894865088</v>
      </c>
      <c r="Q135" t="s">
        <v>394</v>
      </c>
      <c r="R135" t="s">
        <v>399</v>
      </c>
      <c r="S135" t="s">
        <v>404</v>
      </c>
      <c r="T135">
        <v>1</v>
      </c>
      <c r="U135" t="s">
        <v>415</v>
      </c>
    </row>
    <row r="136" spans="1:21" x14ac:dyDescent="0.3">
      <c r="A136" t="s">
        <v>327</v>
      </c>
      <c r="B136" t="s">
        <v>13</v>
      </c>
      <c r="C136" t="s">
        <v>14</v>
      </c>
      <c r="D136">
        <v>2</v>
      </c>
      <c r="E136" t="s">
        <v>15</v>
      </c>
      <c r="F136" t="s">
        <v>14</v>
      </c>
      <c r="G136">
        <v>7500</v>
      </c>
      <c r="H136">
        <v>0</v>
      </c>
      <c r="I136">
        <v>183</v>
      </c>
      <c r="J136">
        <v>360</v>
      </c>
      <c r="K136">
        <v>1</v>
      </c>
      <c r="L136" t="s">
        <v>28</v>
      </c>
      <c r="M136">
        <v>7500</v>
      </c>
      <c r="N136">
        <v>625</v>
      </c>
      <c r="O136" s="3">
        <v>1407.1116749593307</v>
      </c>
      <c r="P136" s="3">
        <v>2.2513786799349291</v>
      </c>
      <c r="Q136" t="s">
        <v>395</v>
      </c>
      <c r="R136" t="s">
        <v>399</v>
      </c>
      <c r="S136" t="s">
        <v>404</v>
      </c>
      <c r="T136">
        <v>0</v>
      </c>
      <c r="U136" t="s">
        <v>417</v>
      </c>
    </row>
    <row r="137" spans="1:21" x14ac:dyDescent="0.3">
      <c r="A137" t="s">
        <v>329</v>
      </c>
      <c r="B137" t="s">
        <v>13</v>
      </c>
      <c r="C137" t="s">
        <v>14</v>
      </c>
      <c r="D137">
        <v>1</v>
      </c>
      <c r="E137" t="s">
        <v>15</v>
      </c>
      <c r="F137" t="s">
        <v>16</v>
      </c>
      <c r="G137">
        <v>6825</v>
      </c>
      <c r="H137">
        <v>0</v>
      </c>
      <c r="I137">
        <v>162</v>
      </c>
      <c r="J137">
        <v>360</v>
      </c>
      <c r="K137">
        <v>1</v>
      </c>
      <c r="L137" t="s">
        <v>28</v>
      </c>
      <c r="M137">
        <v>6825</v>
      </c>
      <c r="N137">
        <v>568.75</v>
      </c>
      <c r="O137" s="3">
        <v>1245.6398434066205</v>
      </c>
      <c r="P137" s="3">
        <v>2.1901359884072447</v>
      </c>
      <c r="Q137" t="s">
        <v>395</v>
      </c>
      <c r="R137" t="s">
        <v>399</v>
      </c>
      <c r="S137" t="s">
        <v>404</v>
      </c>
      <c r="T137">
        <v>0</v>
      </c>
      <c r="U137" t="s">
        <v>417</v>
      </c>
    </row>
    <row r="138" spans="1:21" x14ac:dyDescent="0.3">
      <c r="A138" t="s">
        <v>330</v>
      </c>
      <c r="B138" t="s">
        <v>13</v>
      </c>
      <c r="C138" t="s">
        <v>14</v>
      </c>
      <c r="D138">
        <v>0</v>
      </c>
      <c r="E138" t="s">
        <v>15</v>
      </c>
      <c r="F138" t="s">
        <v>16</v>
      </c>
      <c r="G138">
        <v>3708</v>
      </c>
      <c r="H138">
        <v>4700</v>
      </c>
      <c r="I138">
        <v>132</v>
      </c>
      <c r="J138">
        <v>360</v>
      </c>
      <c r="K138">
        <v>1</v>
      </c>
      <c r="L138" t="s">
        <v>26</v>
      </c>
      <c r="M138">
        <v>8408</v>
      </c>
      <c r="N138">
        <v>700.66666666666663</v>
      </c>
      <c r="O138" s="3">
        <v>1014.9657983313205</v>
      </c>
      <c r="P138" s="3">
        <v>1.4485715485223414</v>
      </c>
      <c r="Q138" t="s">
        <v>395</v>
      </c>
      <c r="R138" t="s">
        <v>399</v>
      </c>
      <c r="S138" t="s">
        <v>404</v>
      </c>
      <c r="T138">
        <v>0</v>
      </c>
      <c r="U138" t="s">
        <v>416</v>
      </c>
    </row>
    <row r="139" spans="1:21" x14ac:dyDescent="0.3">
      <c r="A139" t="s">
        <v>331</v>
      </c>
      <c r="B139" t="s">
        <v>13</v>
      </c>
      <c r="C139" t="s">
        <v>16</v>
      </c>
      <c r="D139">
        <v>0</v>
      </c>
      <c r="E139" t="s">
        <v>15</v>
      </c>
      <c r="F139" t="s">
        <v>16</v>
      </c>
      <c r="G139">
        <v>5314</v>
      </c>
      <c r="H139">
        <v>0</v>
      </c>
      <c r="I139">
        <v>147</v>
      </c>
      <c r="J139">
        <v>360</v>
      </c>
      <c r="K139">
        <v>1</v>
      </c>
      <c r="L139" t="s">
        <v>17</v>
      </c>
      <c r="M139">
        <v>5314</v>
      </c>
      <c r="N139">
        <v>442.83333333333331</v>
      </c>
      <c r="O139" s="3">
        <v>1130.3028208689702</v>
      </c>
      <c r="P139" s="3">
        <v>2.5524339199148747</v>
      </c>
      <c r="Q139" t="s">
        <v>395</v>
      </c>
      <c r="R139" t="s">
        <v>399</v>
      </c>
      <c r="S139" t="s">
        <v>404</v>
      </c>
      <c r="T139">
        <v>0</v>
      </c>
      <c r="U139" t="s">
        <v>415</v>
      </c>
    </row>
    <row r="140" spans="1:21" x14ac:dyDescent="0.3">
      <c r="A140" t="s">
        <v>332</v>
      </c>
      <c r="B140" t="s">
        <v>25</v>
      </c>
      <c r="C140" t="s">
        <v>16</v>
      </c>
      <c r="D140">
        <v>3</v>
      </c>
      <c r="E140" t="s">
        <v>15</v>
      </c>
      <c r="F140" t="s">
        <v>16</v>
      </c>
      <c r="G140">
        <v>2366</v>
      </c>
      <c r="H140">
        <v>5272</v>
      </c>
      <c r="I140">
        <v>153</v>
      </c>
      <c r="J140">
        <v>360</v>
      </c>
      <c r="K140">
        <v>0</v>
      </c>
      <c r="L140" t="s">
        <v>28</v>
      </c>
      <c r="M140">
        <v>7638</v>
      </c>
      <c r="N140">
        <v>636.5</v>
      </c>
      <c r="O140" s="3">
        <v>1176.4376298840305</v>
      </c>
      <c r="P140" s="3">
        <v>1.848291641608846</v>
      </c>
      <c r="Q140" t="s">
        <v>394</v>
      </c>
      <c r="R140" t="s">
        <v>399</v>
      </c>
      <c r="S140" t="s">
        <v>404</v>
      </c>
      <c r="T140">
        <v>1</v>
      </c>
      <c r="U140" t="s">
        <v>417</v>
      </c>
    </row>
    <row r="141" spans="1:21" x14ac:dyDescent="0.3">
      <c r="A141" t="s">
        <v>334</v>
      </c>
      <c r="B141" t="s">
        <v>13</v>
      </c>
      <c r="C141" t="s">
        <v>14</v>
      </c>
      <c r="D141">
        <v>2</v>
      </c>
      <c r="E141" t="s">
        <v>15</v>
      </c>
      <c r="F141" t="s">
        <v>16</v>
      </c>
      <c r="G141">
        <v>5000</v>
      </c>
      <c r="H141">
        <v>0</v>
      </c>
      <c r="I141">
        <v>149</v>
      </c>
      <c r="J141">
        <v>360</v>
      </c>
      <c r="K141">
        <v>1</v>
      </c>
      <c r="L141" t="s">
        <v>28</v>
      </c>
      <c r="M141">
        <v>5000</v>
      </c>
      <c r="N141">
        <v>416.66666666666669</v>
      </c>
      <c r="O141" s="3">
        <v>1145.6810905406571</v>
      </c>
      <c r="P141" s="3">
        <v>2.749634617297577</v>
      </c>
      <c r="Q141" t="s">
        <v>395</v>
      </c>
      <c r="R141" t="s">
        <v>399</v>
      </c>
      <c r="S141" t="s">
        <v>404</v>
      </c>
      <c r="T141">
        <v>0</v>
      </c>
      <c r="U141" t="s">
        <v>417</v>
      </c>
    </row>
    <row r="142" spans="1:21" x14ac:dyDescent="0.3">
      <c r="A142" t="s">
        <v>336</v>
      </c>
      <c r="B142" t="s">
        <v>25</v>
      </c>
      <c r="C142" t="s">
        <v>14</v>
      </c>
      <c r="D142">
        <v>0</v>
      </c>
      <c r="E142" t="s">
        <v>15</v>
      </c>
      <c r="F142" t="s">
        <v>16</v>
      </c>
      <c r="G142">
        <v>7859</v>
      </c>
      <c r="H142">
        <v>879</v>
      </c>
      <c r="I142">
        <v>165</v>
      </c>
      <c r="J142">
        <v>180</v>
      </c>
      <c r="K142">
        <v>1</v>
      </c>
      <c r="L142" t="s">
        <v>26</v>
      </c>
      <c r="M142">
        <v>8738</v>
      </c>
      <c r="N142">
        <v>728.16666666666663</v>
      </c>
      <c r="O142" s="3">
        <v>1624.8202705772289</v>
      </c>
      <c r="P142" s="3">
        <v>2.2313851278240726</v>
      </c>
      <c r="Q142" t="s">
        <v>395</v>
      </c>
      <c r="R142" t="s">
        <v>399</v>
      </c>
      <c r="S142" t="s">
        <v>404</v>
      </c>
      <c r="T142">
        <v>0</v>
      </c>
      <c r="U142" t="s">
        <v>416</v>
      </c>
    </row>
    <row r="143" spans="1:21" x14ac:dyDescent="0.3">
      <c r="A143" t="s">
        <v>340</v>
      </c>
      <c r="B143" t="s">
        <v>13</v>
      </c>
      <c r="C143" t="s">
        <v>16</v>
      </c>
      <c r="D143">
        <v>0</v>
      </c>
      <c r="E143" t="s">
        <v>15</v>
      </c>
      <c r="F143" t="s">
        <v>16</v>
      </c>
      <c r="G143">
        <v>3083</v>
      </c>
      <c r="H143">
        <v>2738</v>
      </c>
      <c r="I143">
        <v>120</v>
      </c>
      <c r="J143">
        <v>360</v>
      </c>
      <c r="K143">
        <v>1</v>
      </c>
      <c r="L143" t="s">
        <v>17</v>
      </c>
      <c r="M143">
        <v>5821</v>
      </c>
      <c r="N143">
        <v>485.08333333333331</v>
      </c>
      <c r="O143" s="3">
        <v>922.69618030120034</v>
      </c>
      <c r="P143" s="3">
        <v>1.9021395230397533</v>
      </c>
      <c r="Q143" t="s">
        <v>395</v>
      </c>
      <c r="R143" t="s">
        <v>399</v>
      </c>
      <c r="S143" t="s">
        <v>404</v>
      </c>
      <c r="T143">
        <v>0</v>
      </c>
      <c r="U143" t="s">
        <v>415</v>
      </c>
    </row>
    <row r="144" spans="1:21" x14ac:dyDescent="0.3">
      <c r="A144" t="s">
        <v>345</v>
      </c>
      <c r="B144" t="s">
        <v>13</v>
      </c>
      <c r="C144" t="s">
        <v>14</v>
      </c>
      <c r="D144">
        <v>0</v>
      </c>
      <c r="E144" t="s">
        <v>15</v>
      </c>
      <c r="F144" t="s">
        <v>16</v>
      </c>
      <c r="G144">
        <v>5333</v>
      </c>
      <c r="H144">
        <v>0</v>
      </c>
      <c r="I144">
        <v>90</v>
      </c>
      <c r="J144">
        <v>360</v>
      </c>
      <c r="K144">
        <v>1</v>
      </c>
      <c r="L144" t="s">
        <v>28</v>
      </c>
      <c r="M144">
        <v>5333</v>
      </c>
      <c r="N144">
        <v>444.41666666666669</v>
      </c>
      <c r="O144" s="3">
        <v>692.02213522590023</v>
      </c>
      <c r="P144" s="3">
        <v>1.5571471259536476</v>
      </c>
      <c r="Q144" t="s">
        <v>395</v>
      </c>
      <c r="R144" t="s">
        <v>399</v>
      </c>
      <c r="S144" t="s">
        <v>406</v>
      </c>
      <c r="T144">
        <v>0</v>
      </c>
      <c r="U144" t="s">
        <v>417</v>
      </c>
    </row>
    <row r="145" spans="1:21" x14ac:dyDescent="0.3">
      <c r="A145" t="s">
        <v>346</v>
      </c>
      <c r="B145" t="s">
        <v>13</v>
      </c>
      <c r="C145" t="s">
        <v>16</v>
      </c>
      <c r="D145">
        <v>0</v>
      </c>
      <c r="E145" t="s">
        <v>15</v>
      </c>
      <c r="F145" t="s">
        <v>16</v>
      </c>
      <c r="G145">
        <v>2875</v>
      </c>
      <c r="H145">
        <v>2416</v>
      </c>
      <c r="I145">
        <v>95</v>
      </c>
      <c r="J145">
        <v>6</v>
      </c>
      <c r="K145">
        <v>0</v>
      </c>
      <c r="L145" t="s">
        <v>26</v>
      </c>
      <c r="M145">
        <v>5291</v>
      </c>
      <c r="N145">
        <v>440.91666666666669</v>
      </c>
      <c r="O145" s="3">
        <v>16228.176862204025</v>
      </c>
      <c r="P145" s="3">
        <v>36.805541929020656</v>
      </c>
      <c r="Q145" t="s">
        <v>394</v>
      </c>
      <c r="R145" t="s">
        <v>399</v>
      </c>
      <c r="S145" t="s">
        <v>406</v>
      </c>
      <c r="T145">
        <v>1</v>
      </c>
      <c r="U145" t="s">
        <v>416</v>
      </c>
    </row>
    <row r="146" spans="1:21" x14ac:dyDescent="0.3">
      <c r="A146" t="s">
        <v>348</v>
      </c>
      <c r="B146" t="s">
        <v>13</v>
      </c>
      <c r="C146" t="s">
        <v>14</v>
      </c>
      <c r="D146">
        <v>2</v>
      </c>
      <c r="E146" t="s">
        <v>15</v>
      </c>
      <c r="F146" t="s">
        <v>16</v>
      </c>
      <c r="G146">
        <v>5041</v>
      </c>
      <c r="H146">
        <v>700</v>
      </c>
      <c r="I146">
        <v>150</v>
      </c>
      <c r="J146">
        <v>360</v>
      </c>
      <c r="K146">
        <v>1</v>
      </c>
      <c r="L146" t="s">
        <v>17</v>
      </c>
      <c r="M146">
        <v>5741</v>
      </c>
      <c r="N146">
        <v>478.41666666666669</v>
      </c>
      <c r="O146" s="3">
        <v>1153.3702253765005</v>
      </c>
      <c r="P146" s="3">
        <v>2.4108069507956809</v>
      </c>
      <c r="Q146" t="s">
        <v>395</v>
      </c>
      <c r="R146" t="s">
        <v>399</v>
      </c>
      <c r="S146" t="s">
        <v>404</v>
      </c>
      <c r="T146">
        <v>0</v>
      </c>
      <c r="U146" t="s">
        <v>415</v>
      </c>
    </row>
    <row r="147" spans="1:21" x14ac:dyDescent="0.3">
      <c r="A147" t="s">
        <v>349</v>
      </c>
      <c r="B147" t="s">
        <v>13</v>
      </c>
      <c r="C147" t="s">
        <v>14</v>
      </c>
      <c r="D147">
        <v>3</v>
      </c>
      <c r="E147" t="s">
        <v>15</v>
      </c>
      <c r="F147" t="s">
        <v>14</v>
      </c>
      <c r="G147">
        <v>6958</v>
      </c>
      <c r="H147">
        <v>1411</v>
      </c>
      <c r="I147">
        <v>150</v>
      </c>
      <c r="J147">
        <v>360</v>
      </c>
      <c r="K147">
        <v>1</v>
      </c>
      <c r="L147" t="s">
        <v>28</v>
      </c>
      <c r="M147">
        <v>8369</v>
      </c>
      <c r="N147">
        <v>697.41666666666663</v>
      </c>
      <c r="O147" s="3">
        <v>1153.3702253765005</v>
      </c>
      <c r="P147" s="3">
        <v>1.6537749676804883</v>
      </c>
      <c r="Q147" t="s">
        <v>395</v>
      </c>
      <c r="R147" t="s">
        <v>399</v>
      </c>
      <c r="S147" t="s">
        <v>404</v>
      </c>
      <c r="T147">
        <v>0</v>
      </c>
      <c r="U147" t="s">
        <v>417</v>
      </c>
    </row>
    <row r="148" spans="1:21" x14ac:dyDescent="0.3">
      <c r="A148" t="s">
        <v>350</v>
      </c>
      <c r="B148" t="s">
        <v>13</v>
      </c>
      <c r="C148" t="s">
        <v>14</v>
      </c>
      <c r="D148">
        <v>1</v>
      </c>
      <c r="E148" t="s">
        <v>15</v>
      </c>
      <c r="F148" t="s">
        <v>16</v>
      </c>
      <c r="G148">
        <v>3500</v>
      </c>
      <c r="H148">
        <v>1658</v>
      </c>
      <c r="I148">
        <v>104</v>
      </c>
      <c r="J148">
        <v>360</v>
      </c>
      <c r="K148">
        <v>0</v>
      </c>
      <c r="L148" t="s">
        <v>26</v>
      </c>
      <c r="M148">
        <v>5158</v>
      </c>
      <c r="N148">
        <v>429.83333333333331</v>
      </c>
      <c r="O148" s="3">
        <v>799.67002292770701</v>
      </c>
      <c r="P148" s="3">
        <v>1.8604188203048633</v>
      </c>
      <c r="Q148" t="s">
        <v>394</v>
      </c>
      <c r="R148" t="s">
        <v>399</v>
      </c>
      <c r="S148" t="s">
        <v>404</v>
      </c>
      <c r="T148">
        <v>1</v>
      </c>
      <c r="U148" t="s">
        <v>416</v>
      </c>
    </row>
    <row r="149" spans="1:21" x14ac:dyDescent="0.3">
      <c r="A149" t="s">
        <v>351</v>
      </c>
      <c r="B149" t="s">
        <v>13</v>
      </c>
      <c r="C149" t="s">
        <v>14</v>
      </c>
      <c r="D149">
        <v>0</v>
      </c>
      <c r="E149" t="s">
        <v>15</v>
      </c>
      <c r="F149" t="s">
        <v>16</v>
      </c>
      <c r="G149">
        <v>5509</v>
      </c>
      <c r="H149">
        <v>0</v>
      </c>
      <c r="I149">
        <v>143</v>
      </c>
      <c r="J149">
        <v>360</v>
      </c>
      <c r="K149">
        <v>1</v>
      </c>
      <c r="L149" t="s">
        <v>28</v>
      </c>
      <c r="M149">
        <v>5509</v>
      </c>
      <c r="N149">
        <v>459.08333333333331</v>
      </c>
      <c r="O149" s="3">
        <v>1099.5462815255971</v>
      </c>
      <c r="P149" s="3">
        <v>2.3950908292443578</v>
      </c>
      <c r="Q149" t="s">
        <v>395</v>
      </c>
      <c r="R149" t="s">
        <v>399</v>
      </c>
      <c r="S149" t="s">
        <v>404</v>
      </c>
      <c r="T149">
        <v>0</v>
      </c>
      <c r="U149" t="s">
        <v>417</v>
      </c>
    </row>
    <row r="150" spans="1:21" x14ac:dyDescent="0.3">
      <c r="A150" t="s">
        <v>352</v>
      </c>
      <c r="B150" t="s">
        <v>13</v>
      </c>
      <c r="C150" t="s">
        <v>14</v>
      </c>
      <c r="D150">
        <v>3</v>
      </c>
      <c r="E150" t="s">
        <v>15</v>
      </c>
      <c r="F150" t="s">
        <v>16</v>
      </c>
      <c r="G150">
        <v>9699</v>
      </c>
      <c r="H150">
        <v>0</v>
      </c>
      <c r="I150">
        <v>300</v>
      </c>
      <c r="J150">
        <v>360</v>
      </c>
      <c r="K150">
        <v>1</v>
      </c>
      <c r="L150" t="s">
        <v>17</v>
      </c>
      <c r="M150">
        <v>9699</v>
      </c>
      <c r="N150">
        <v>808.25</v>
      </c>
      <c r="O150" s="3">
        <v>2306.7404507530009</v>
      </c>
      <c r="P150" s="3">
        <v>2.8539937528648327</v>
      </c>
      <c r="Q150" t="s">
        <v>395</v>
      </c>
      <c r="R150" t="s">
        <v>399</v>
      </c>
      <c r="S150" t="s">
        <v>407</v>
      </c>
      <c r="T150">
        <v>0</v>
      </c>
      <c r="U150" t="s">
        <v>415</v>
      </c>
    </row>
    <row r="151" spans="1:21" x14ac:dyDescent="0.3">
      <c r="A151" t="s">
        <v>353</v>
      </c>
      <c r="B151" t="s">
        <v>25</v>
      </c>
      <c r="C151" t="s">
        <v>14</v>
      </c>
      <c r="D151">
        <v>1</v>
      </c>
      <c r="E151" t="s">
        <v>22</v>
      </c>
      <c r="F151" t="s">
        <v>16</v>
      </c>
      <c r="G151">
        <v>3621</v>
      </c>
      <c r="H151">
        <v>2717</v>
      </c>
      <c r="I151">
        <v>171</v>
      </c>
      <c r="J151">
        <v>360</v>
      </c>
      <c r="K151">
        <v>1</v>
      </c>
      <c r="L151" t="s">
        <v>17</v>
      </c>
      <c r="M151">
        <v>6338</v>
      </c>
      <c r="N151">
        <v>528.16666666666663</v>
      </c>
      <c r="O151" s="3">
        <v>1314.8420569292107</v>
      </c>
      <c r="P151" s="3">
        <v>2.4894453586542329</v>
      </c>
      <c r="Q151" t="s">
        <v>395</v>
      </c>
      <c r="R151" t="s">
        <v>399</v>
      </c>
      <c r="S151" t="s">
        <v>404</v>
      </c>
      <c r="T151">
        <v>0</v>
      </c>
      <c r="U151" t="s">
        <v>415</v>
      </c>
    </row>
    <row r="152" spans="1:21" x14ac:dyDescent="0.3">
      <c r="A152" t="s">
        <v>357</v>
      </c>
      <c r="B152" t="s">
        <v>25</v>
      </c>
      <c r="C152" t="s">
        <v>16</v>
      </c>
      <c r="D152">
        <v>0</v>
      </c>
      <c r="E152" t="s">
        <v>22</v>
      </c>
      <c r="F152" t="s">
        <v>16</v>
      </c>
      <c r="G152">
        <v>3015</v>
      </c>
      <c r="H152">
        <v>2000</v>
      </c>
      <c r="I152">
        <v>145</v>
      </c>
      <c r="J152">
        <v>360</v>
      </c>
      <c r="K152">
        <v>0</v>
      </c>
      <c r="L152" t="s">
        <v>17</v>
      </c>
      <c r="M152">
        <v>5015</v>
      </c>
      <c r="N152">
        <v>417.91666666666669</v>
      </c>
      <c r="O152" s="3">
        <v>1114.9245511972838</v>
      </c>
      <c r="P152" s="3">
        <v>2.6678154764441486</v>
      </c>
      <c r="Q152" t="s">
        <v>394</v>
      </c>
      <c r="R152" t="s">
        <v>399</v>
      </c>
      <c r="S152" t="s">
        <v>404</v>
      </c>
      <c r="T152">
        <v>1</v>
      </c>
      <c r="U152" t="s">
        <v>415</v>
      </c>
    </row>
    <row r="153" spans="1:21" x14ac:dyDescent="0.3">
      <c r="A153" t="s">
        <v>359</v>
      </c>
      <c r="B153" t="s">
        <v>13</v>
      </c>
      <c r="C153" t="s">
        <v>14</v>
      </c>
      <c r="D153">
        <v>1</v>
      </c>
      <c r="E153" t="s">
        <v>15</v>
      </c>
      <c r="F153" t="s">
        <v>14</v>
      </c>
      <c r="G153">
        <v>2360</v>
      </c>
      <c r="H153">
        <v>3355</v>
      </c>
      <c r="I153">
        <v>87</v>
      </c>
      <c r="J153">
        <v>240</v>
      </c>
      <c r="K153">
        <v>1</v>
      </c>
      <c r="L153" t="s">
        <v>28</v>
      </c>
      <c r="M153">
        <v>5715</v>
      </c>
      <c r="N153">
        <v>476.25</v>
      </c>
      <c r="O153" s="3">
        <v>755.00621302801449</v>
      </c>
      <c r="P153" s="3">
        <v>1.5853148829984556</v>
      </c>
      <c r="Q153" t="s">
        <v>395</v>
      </c>
      <c r="R153" t="s">
        <v>399</v>
      </c>
      <c r="S153" t="s">
        <v>406</v>
      </c>
      <c r="T153">
        <v>0</v>
      </c>
      <c r="U153" t="s">
        <v>417</v>
      </c>
    </row>
    <row r="154" spans="1:21" x14ac:dyDescent="0.3">
      <c r="A154" t="s">
        <v>360</v>
      </c>
      <c r="B154" t="s">
        <v>25</v>
      </c>
      <c r="C154" t="s">
        <v>16</v>
      </c>
      <c r="D154">
        <v>0</v>
      </c>
      <c r="E154" t="s">
        <v>15</v>
      </c>
      <c r="F154" t="s">
        <v>16</v>
      </c>
      <c r="G154">
        <v>4333</v>
      </c>
      <c r="H154">
        <v>2333</v>
      </c>
      <c r="I154">
        <v>162</v>
      </c>
      <c r="J154">
        <v>360</v>
      </c>
      <c r="K154">
        <v>0</v>
      </c>
      <c r="L154" t="s">
        <v>28</v>
      </c>
      <c r="M154">
        <v>6666</v>
      </c>
      <c r="N154">
        <v>555.5</v>
      </c>
      <c r="O154" s="3">
        <v>1245.6398434066205</v>
      </c>
      <c r="P154" s="3">
        <v>2.2423759557274896</v>
      </c>
      <c r="Q154" t="s">
        <v>394</v>
      </c>
      <c r="R154" t="s">
        <v>399</v>
      </c>
      <c r="S154" t="s">
        <v>404</v>
      </c>
      <c r="T154">
        <v>1</v>
      </c>
      <c r="U154" t="s">
        <v>417</v>
      </c>
    </row>
    <row r="155" spans="1:21" x14ac:dyDescent="0.3">
      <c r="A155" t="s">
        <v>361</v>
      </c>
      <c r="B155" t="s">
        <v>13</v>
      </c>
      <c r="C155" t="s">
        <v>14</v>
      </c>
      <c r="D155">
        <v>0</v>
      </c>
      <c r="E155" t="s">
        <v>15</v>
      </c>
      <c r="F155" t="s">
        <v>14</v>
      </c>
      <c r="G155">
        <v>2623</v>
      </c>
      <c r="H155">
        <v>4831</v>
      </c>
      <c r="I155">
        <v>122</v>
      </c>
      <c r="J155">
        <v>180</v>
      </c>
      <c r="K155">
        <v>1</v>
      </c>
      <c r="L155" t="s">
        <v>26</v>
      </c>
      <c r="M155">
        <v>7454</v>
      </c>
      <c r="N155">
        <v>621.16666666666663</v>
      </c>
      <c r="O155" s="3">
        <v>1201.3822606692238</v>
      </c>
      <c r="P155" s="3">
        <v>1.934073937219035</v>
      </c>
      <c r="Q155" t="s">
        <v>395</v>
      </c>
      <c r="R155" t="s">
        <v>399</v>
      </c>
      <c r="S155" t="s">
        <v>404</v>
      </c>
      <c r="T155">
        <v>0</v>
      </c>
      <c r="U155" t="s">
        <v>416</v>
      </c>
    </row>
    <row r="156" spans="1:21" x14ac:dyDescent="0.3">
      <c r="A156" t="s">
        <v>362</v>
      </c>
      <c r="B156" t="s">
        <v>13</v>
      </c>
      <c r="C156" t="s">
        <v>16</v>
      </c>
      <c r="D156">
        <v>0</v>
      </c>
      <c r="E156" t="s">
        <v>15</v>
      </c>
      <c r="F156" t="s">
        <v>14</v>
      </c>
      <c r="G156">
        <v>3972</v>
      </c>
      <c r="H156">
        <v>4275</v>
      </c>
      <c r="I156">
        <v>187</v>
      </c>
      <c r="J156">
        <v>360</v>
      </c>
      <c r="K156">
        <v>1</v>
      </c>
      <c r="L156" t="s">
        <v>28</v>
      </c>
      <c r="M156">
        <v>8247</v>
      </c>
      <c r="N156">
        <v>687.25</v>
      </c>
      <c r="O156" s="3">
        <v>1437.8682143027038</v>
      </c>
      <c r="P156" s="3">
        <v>2.0922054773411478</v>
      </c>
      <c r="Q156" t="s">
        <v>395</v>
      </c>
      <c r="R156" t="s">
        <v>399</v>
      </c>
      <c r="S156" t="s">
        <v>404</v>
      </c>
      <c r="T156">
        <v>0</v>
      </c>
      <c r="U156" t="s">
        <v>417</v>
      </c>
    </row>
    <row r="157" spans="1:21" x14ac:dyDescent="0.3">
      <c r="A157" t="s">
        <v>365</v>
      </c>
      <c r="B157" t="s">
        <v>13</v>
      </c>
      <c r="C157" t="s">
        <v>16</v>
      </c>
      <c r="D157">
        <v>0</v>
      </c>
      <c r="E157" t="s">
        <v>15</v>
      </c>
      <c r="F157" t="s">
        <v>16</v>
      </c>
      <c r="G157">
        <v>6858</v>
      </c>
      <c r="H157">
        <v>0</v>
      </c>
      <c r="I157">
        <v>176</v>
      </c>
      <c r="J157">
        <v>360</v>
      </c>
      <c r="K157">
        <v>1</v>
      </c>
      <c r="L157" t="s">
        <v>28</v>
      </c>
      <c r="M157">
        <v>6858</v>
      </c>
      <c r="N157">
        <v>571.5</v>
      </c>
      <c r="O157" s="3">
        <v>1353.2877311084274</v>
      </c>
      <c r="P157" s="3">
        <v>2.3679575347479043</v>
      </c>
      <c r="Q157" t="s">
        <v>395</v>
      </c>
      <c r="R157" t="s">
        <v>399</v>
      </c>
      <c r="S157" t="s">
        <v>404</v>
      </c>
      <c r="T157">
        <v>0</v>
      </c>
      <c r="U157" t="s">
        <v>417</v>
      </c>
    </row>
    <row r="158" spans="1:21" x14ac:dyDescent="0.3">
      <c r="A158" t="s">
        <v>366</v>
      </c>
      <c r="B158" t="s">
        <v>13</v>
      </c>
      <c r="C158" t="s">
        <v>14</v>
      </c>
      <c r="D158">
        <v>3</v>
      </c>
      <c r="E158" t="s">
        <v>15</v>
      </c>
      <c r="F158" t="s">
        <v>16</v>
      </c>
      <c r="G158">
        <v>8334</v>
      </c>
      <c r="H158">
        <v>0</v>
      </c>
      <c r="I158">
        <v>260</v>
      </c>
      <c r="J158">
        <v>360</v>
      </c>
      <c r="K158">
        <v>1</v>
      </c>
      <c r="L158" t="s">
        <v>17</v>
      </c>
      <c r="M158">
        <v>8334</v>
      </c>
      <c r="N158">
        <v>694.5</v>
      </c>
      <c r="O158" s="3">
        <v>1999.1750573192676</v>
      </c>
      <c r="P158" s="3">
        <v>2.8785817959960656</v>
      </c>
      <c r="Q158" t="s">
        <v>395</v>
      </c>
      <c r="R158" t="s">
        <v>399</v>
      </c>
      <c r="S158" t="s">
        <v>405</v>
      </c>
      <c r="T158">
        <v>0</v>
      </c>
      <c r="U158" t="s">
        <v>415</v>
      </c>
    </row>
    <row r="159" spans="1:21" x14ac:dyDescent="0.3">
      <c r="A159" t="s">
        <v>367</v>
      </c>
      <c r="B159" t="s">
        <v>13</v>
      </c>
      <c r="C159" t="s">
        <v>14</v>
      </c>
      <c r="D159">
        <v>0</v>
      </c>
      <c r="E159" t="s">
        <v>15</v>
      </c>
      <c r="F159" t="s">
        <v>16</v>
      </c>
      <c r="G159">
        <v>3391</v>
      </c>
      <c r="H159">
        <v>1966</v>
      </c>
      <c r="I159">
        <v>133</v>
      </c>
      <c r="J159">
        <v>360</v>
      </c>
      <c r="K159">
        <v>0</v>
      </c>
      <c r="L159" t="s">
        <v>28</v>
      </c>
      <c r="M159">
        <v>5357</v>
      </c>
      <c r="N159">
        <v>446.41666666666669</v>
      </c>
      <c r="O159" s="3">
        <v>1022.6549331671637</v>
      </c>
      <c r="P159" s="3">
        <v>2.2908081385114736</v>
      </c>
      <c r="Q159" t="s">
        <v>394</v>
      </c>
      <c r="R159" t="s">
        <v>399</v>
      </c>
      <c r="S159" t="s">
        <v>404</v>
      </c>
      <c r="T159">
        <v>1</v>
      </c>
      <c r="U159" t="s">
        <v>417</v>
      </c>
    </row>
    <row r="160" spans="1:21" x14ac:dyDescent="0.3">
      <c r="A160" t="s">
        <v>371</v>
      </c>
      <c r="B160" t="s">
        <v>13</v>
      </c>
      <c r="C160" t="s">
        <v>14</v>
      </c>
      <c r="D160">
        <v>2</v>
      </c>
      <c r="E160" t="s">
        <v>15</v>
      </c>
      <c r="F160" t="s">
        <v>16</v>
      </c>
      <c r="G160">
        <v>8667</v>
      </c>
      <c r="H160">
        <v>0</v>
      </c>
      <c r="I160">
        <v>254</v>
      </c>
      <c r="J160">
        <v>360</v>
      </c>
      <c r="K160">
        <v>1</v>
      </c>
      <c r="L160" t="s">
        <v>28</v>
      </c>
      <c r="M160">
        <v>8667</v>
      </c>
      <c r="N160">
        <v>722.25</v>
      </c>
      <c r="O160" s="3">
        <v>1953.0402483042074</v>
      </c>
      <c r="P160" s="3">
        <v>2.7041055705146517</v>
      </c>
      <c r="Q160" t="s">
        <v>395</v>
      </c>
      <c r="R160" t="s">
        <v>399</v>
      </c>
      <c r="S160" t="s">
        <v>405</v>
      </c>
      <c r="T160">
        <v>0</v>
      </c>
      <c r="U160" t="s">
        <v>417</v>
      </c>
    </row>
    <row r="161" spans="1:21" x14ac:dyDescent="0.3">
      <c r="A161" t="s">
        <v>373</v>
      </c>
      <c r="B161" t="s">
        <v>13</v>
      </c>
      <c r="C161" t="s">
        <v>14</v>
      </c>
      <c r="D161">
        <v>0</v>
      </c>
      <c r="E161" t="s">
        <v>15</v>
      </c>
      <c r="F161" t="s">
        <v>16</v>
      </c>
      <c r="G161">
        <v>5817</v>
      </c>
      <c r="H161">
        <v>910</v>
      </c>
      <c r="I161">
        <v>109</v>
      </c>
      <c r="J161">
        <v>360</v>
      </c>
      <c r="K161">
        <v>1</v>
      </c>
      <c r="L161" t="s">
        <v>17</v>
      </c>
      <c r="M161">
        <v>6727</v>
      </c>
      <c r="N161">
        <v>560.58333333333337</v>
      </c>
      <c r="O161" s="3">
        <v>838.11569710692368</v>
      </c>
      <c r="P161" s="3">
        <v>1.4950778006961623</v>
      </c>
      <c r="Q161" t="s">
        <v>395</v>
      </c>
      <c r="R161" t="s">
        <v>399</v>
      </c>
      <c r="S161" t="s">
        <v>404</v>
      </c>
      <c r="T161">
        <v>0</v>
      </c>
      <c r="U161" t="s">
        <v>415</v>
      </c>
    </row>
    <row r="162" spans="1:21" x14ac:dyDescent="0.3">
      <c r="A162" t="s">
        <v>374</v>
      </c>
      <c r="B162" t="s">
        <v>13</v>
      </c>
      <c r="C162" t="s">
        <v>14</v>
      </c>
      <c r="D162">
        <v>0</v>
      </c>
      <c r="E162" t="s">
        <v>15</v>
      </c>
      <c r="F162" t="s">
        <v>16</v>
      </c>
      <c r="G162">
        <v>5119</v>
      </c>
      <c r="H162">
        <v>3769</v>
      </c>
      <c r="I162">
        <v>120</v>
      </c>
      <c r="J162">
        <v>360</v>
      </c>
      <c r="K162">
        <v>1</v>
      </c>
      <c r="L162" t="s">
        <v>28</v>
      </c>
      <c r="M162">
        <v>8888</v>
      </c>
      <c r="N162">
        <v>740.66666666666663</v>
      </c>
      <c r="O162" s="3">
        <v>922.69618030120034</v>
      </c>
      <c r="P162" s="3">
        <v>1.2457644198486053</v>
      </c>
      <c r="Q162" t="s">
        <v>395</v>
      </c>
      <c r="R162" t="s">
        <v>399</v>
      </c>
      <c r="S162" t="s">
        <v>404</v>
      </c>
      <c r="T162">
        <v>0</v>
      </c>
      <c r="U162" t="s">
        <v>417</v>
      </c>
    </row>
    <row r="163" spans="1:21" x14ac:dyDescent="0.3">
      <c r="A163" t="s">
        <v>375</v>
      </c>
      <c r="B163" t="s">
        <v>13</v>
      </c>
      <c r="C163" t="s">
        <v>14</v>
      </c>
      <c r="D163">
        <v>3</v>
      </c>
      <c r="E163" t="s">
        <v>22</v>
      </c>
      <c r="F163" t="s">
        <v>16</v>
      </c>
      <c r="G163">
        <v>5316</v>
      </c>
      <c r="H163">
        <v>187</v>
      </c>
      <c r="I163">
        <v>158</v>
      </c>
      <c r="J163">
        <v>180</v>
      </c>
      <c r="K163">
        <v>0</v>
      </c>
      <c r="L163" t="s">
        <v>26</v>
      </c>
      <c r="M163">
        <v>5503</v>
      </c>
      <c r="N163">
        <v>458.58333333333331</v>
      </c>
      <c r="O163" s="3">
        <v>1555.8885015224373</v>
      </c>
      <c r="P163" s="3">
        <v>3.3928151950334815</v>
      </c>
      <c r="Q163" t="s">
        <v>394</v>
      </c>
      <c r="R163" t="s">
        <v>399</v>
      </c>
      <c r="S163" t="s">
        <v>404</v>
      </c>
      <c r="T163">
        <v>1</v>
      </c>
      <c r="U163" t="s">
        <v>416</v>
      </c>
    </row>
    <row r="164" spans="1:21" x14ac:dyDescent="0.3">
      <c r="A164" t="s">
        <v>376</v>
      </c>
      <c r="B164" t="s">
        <v>13</v>
      </c>
      <c r="C164" t="s">
        <v>14</v>
      </c>
      <c r="D164">
        <v>3</v>
      </c>
      <c r="E164" t="s">
        <v>15</v>
      </c>
      <c r="F164" t="s">
        <v>16</v>
      </c>
      <c r="G164">
        <v>7603</v>
      </c>
      <c r="H164">
        <v>1213</v>
      </c>
      <c r="I164">
        <v>197</v>
      </c>
      <c r="J164">
        <v>360</v>
      </c>
      <c r="K164">
        <v>1</v>
      </c>
      <c r="L164" t="s">
        <v>17</v>
      </c>
      <c r="M164">
        <v>8816</v>
      </c>
      <c r="N164">
        <v>734.66666666666663</v>
      </c>
      <c r="O164" s="3">
        <v>1514.7595626611371</v>
      </c>
      <c r="P164" s="3">
        <v>2.0618324355641615</v>
      </c>
      <c r="Q164" t="s">
        <v>395</v>
      </c>
      <c r="R164" t="s">
        <v>399</v>
      </c>
      <c r="S164" t="s">
        <v>404</v>
      </c>
      <c r="T164">
        <v>0</v>
      </c>
      <c r="U164" t="s">
        <v>415</v>
      </c>
    </row>
    <row r="165" spans="1:21" x14ac:dyDescent="0.3">
      <c r="A165" t="s">
        <v>377</v>
      </c>
      <c r="B165" t="s">
        <v>13</v>
      </c>
      <c r="C165" t="s">
        <v>14</v>
      </c>
      <c r="D165">
        <v>1</v>
      </c>
      <c r="E165" t="s">
        <v>15</v>
      </c>
      <c r="F165" t="s">
        <v>16</v>
      </c>
      <c r="G165">
        <v>3791</v>
      </c>
      <c r="H165">
        <v>1936</v>
      </c>
      <c r="I165">
        <v>85</v>
      </c>
      <c r="J165">
        <v>360</v>
      </c>
      <c r="K165">
        <v>1</v>
      </c>
      <c r="L165" t="s">
        <v>17</v>
      </c>
      <c r="M165">
        <v>5727</v>
      </c>
      <c r="N165">
        <v>477.25</v>
      </c>
      <c r="O165" s="3">
        <v>653.57646104668356</v>
      </c>
      <c r="P165" s="3">
        <v>1.3694635118840934</v>
      </c>
      <c r="Q165" t="s">
        <v>395</v>
      </c>
      <c r="R165" t="s">
        <v>399</v>
      </c>
      <c r="S165" t="s">
        <v>406</v>
      </c>
      <c r="T165">
        <v>0</v>
      </c>
      <c r="U165" t="s">
        <v>415</v>
      </c>
    </row>
    <row r="166" spans="1:21" x14ac:dyDescent="0.3">
      <c r="A166" t="s">
        <v>380</v>
      </c>
      <c r="B166" t="s">
        <v>13</v>
      </c>
      <c r="C166" t="s">
        <v>16</v>
      </c>
      <c r="D166">
        <v>0</v>
      </c>
      <c r="E166" t="s">
        <v>15</v>
      </c>
      <c r="F166" t="s">
        <v>16</v>
      </c>
      <c r="G166">
        <v>4000</v>
      </c>
      <c r="H166">
        <v>2667</v>
      </c>
      <c r="I166">
        <v>152</v>
      </c>
      <c r="J166">
        <v>360</v>
      </c>
      <c r="K166">
        <v>1</v>
      </c>
      <c r="L166" t="s">
        <v>26</v>
      </c>
      <c r="M166">
        <v>6667</v>
      </c>
      <c r="N166">
        <v>555.58333333333337</v>
      </c>
      <c r="O166" s="3">
        <v>1168.7484950481871</v>
      </c>
      <c r="P166" s="3">
        <v>2.1036421089812878</v>
      </c>
      <c r="Q166" t="s">
        <v>395</v>
      </c>
      <c r="R166" t="s">
        <v>399</v>
      </c>
      <c r="S166" t="s">
        <v>404</v>
      </c>
      <c r="T166">
        <v>0</v>
      </c>
      <c r="U166" t="s">
        <v>416</v>
      </c>
    </row>
    <row r="167" spans="1:21" x14ac:dyDescent="0.3">
      <c r="A167" t="s">
        <v>383</v>
      </c>
      <c r="B167" t="s">
        <v>13</v>
      </c>
      <c r="C167" t="s">
        <v>14</v>
      </c>
      <c r="D167">
        <v>3</v>
      </c>
      <c r="E167" t="s">
        <v>22</v>
      </c>
      <c r="F167" t="s">
        <v>14</v>
      </c>
      <c r="G167">
        <v>4009</v>
      </c>
      <c r="H167">
        <v>1777</v>
      </c>
      <c r="I167">
        <v>113</v>
      </c>
      <c r="J167">
        <v>360</v>
      </c>
      <c r="K167">
        <v>1</v>
      </c>
      <c r="L167" t="s">
        <v>17</v>
      </c>
      <c r="M167">
        <v>5786</v>
      </c>
      <c r="N167">
        <v>482.16666666666669</v>
      </c>
      <c r="O167" s="3">
        <v>868.87223645029701</v>
      </c>
      <c r="P167" s="3">
        <v>1.8020163908405744</v>
      </c>
      <c r="Q167" t="s">
        <v>395</v>
      </c>
      <c r="R167" t="s">
        <v>399</v>
      </c>
      <c r="S167" t="s">
        <v>404</v>
      </c>
      <c r="T167">
        <v>0</v>
      </c>
      <c r="U167" t="s">
        <v>415</v>
      </c>
    </row>
    <row r="168" spans="1:21" x14ac:dyDescent="0.3">
      <c r="A168" t="s">
        <v>385</v>
      </c>
      <c r="B168" t="s">
        <v>13</v>
      </c>
      <c r="C168" t="s">
        <v>16</v>
      </c>
      <c r="D168">
        <v>0</v>
      </c>
      <c r="E168" t="s">
        <v>15</v>
      </c>
      <c r="F168" t="s">
        <v>16</v>
      </c>
      <c r="G168">
        <v>3250</v>
      </c>
      <c r="H168">
        <v>1993</v>
      </c>
      <c r="I168">
        <v>126</v>
      </c>
      <c r="J168">
        <v>360</v>
      </c>
      <c r="K168">
        <v>0</v>
      </c>
      <c r="L168" t="s">
        <v>26</v>
      </c>
      <c r="M168">
        <v>5243</v>
      </c>
      <c r="N168">
        <v>436.91666666666669</v>
      </c>
      <c r="O168" s="3">
        <v>968.83098931626046</v>
      </c>
      <c r="P168" s="3">
        <v>2.217427402593005</v>
      </c>
      <c r="Q168" t="s">
        <v>394</v>
      </c>
      <c r="R168" t="s">
        <v>399</v>
      </c>
      <c r="S168" t="s">
        <v>404</v>
      </c>
      <c r="T168">
        <v>1</v>
      </c>
      <c r="U168" t="s">
        <v>416</v>
      </c>
    </row>
    <row r="169" spans="1:21" x14ac:dyDescent="0.3">
      <c r="A169" t="s">
        <v>386</v>
      </c>
      <c r="B169" t="s">
        <v>13</v>
      </c>
      <c r="C169" t="s">
        <v>14</v>
      </c>
      <c r="D169">
        <v>0</v>
      </c>
      <c r="E169" t="s">
        <v>15</v>
      </c>
      <c r="F169" t="s">
        <v>16</v>
      </c>
      <c r="G169">
        <v>5000</v>
      </c>
      <c r="H169">
        <v>2393</v>
      </c>
      <c r="I169">
        <v>158</v>
      </c>
      <c r="J169">
        <v>360</v>
      </c>
      <c r="K169">
        <v>1</v>
      </c>
      <c r="L169" t="s">
        <v>28</v>
      </c>
      <c r="M169">
        <v>7393</v>
      </c>
      <c r="N169">
        <v>616.08333333333337</v>
      </c>
      <c r="O169" s="3">
        <v>1214.8833040632471</v>
      </c>
      <c r="P169" s="3">
        <v>1.9719463883077186</v>
      </c>
      <c r="Q169" t="s">
        <v>395</v>
      </c>
      <c r="R169" t="s">
        <v>399</v>
      </c>
      <c r="S169" t="s">
        <v>404</v>
      </c>
      <c r="T169">
        <v>0</v>
      </c>
      <c r="U169" t="s">
        <v>417</v>
      </c>
    </row>
    <row r="170" spans="1:21" x14ac:dyDescent="0.3">
      <c r="A170" t="s">
        <v>387</v>
      </c>
      <c r="B170" t="s">
        <v>13</v>
      </c>
      <c r="C170" t="s">
        <v>16</v>
      </c>
      <c r="D170">
        <v>0</v>
      </c>
      <c r="E170" t="s">
        <v>15</v>
      </c>
      <c r="F170" t="s">
        <v>14</v>
      </c>
      <c r="G170">
        <v>9200</v>
      </c>
      <c r="H170">
        <v>0</v>
      </c>
      <c r="I170">
        <v>98</v>
      </c>
      <c r="J170">
        <v>180</v>
      </c>
      <c r="K170">
        <v>1</v>
      </c>
      <c r="L170" t="s">
        <v>28</v>
      </c>
      <c r="M170">
        <v>9200</v>
      </c>
      <c r="N170">
        <v>766.66666666666663</v>
      </c>
      <c r="O170" s="3">
        <v>965.04476676708134</v>
      </c>
      <c r="P170" s="3">
        <v>1.2587540436092366</v>
      </c>
      <c r="Q170" t="s">
        <v>395</v>
      </c>
      <c r="R170" t="s">
        <v>399</v>
      </c>
      <c r="S170" t="s">
        <v>406</v>
      </c>
      <c r="T170">
        <v>0</v>
      </c>
      <c r="U170" t="s">
        <v>417</v>
      </c>
    </row>
    <row r="171" spans="1:21" x14ac:dyDescent="0.3">
      <c r="A171" t="s">
        <v>46</v>
      </c>
      <c r="B171" t="s">
        <v>13</v>
      </c>
      <c r="C171" t="s">
        <v>16</v>
      </c>
      <c r="D171">
        <v>0</v>
      </c>
      <c r="E171" t="s">
        <v>15</v>
      </c>
      <c r="F171" t="s">
        <v>16</v>
      </c>
      <c r="G171">
        <v>0</v>
      </c>
      <c r="H171">
        <v>24000</v>
      </c>
      <c r="I171">
        <v>148</v>
      </c>
      <c r="J171">
        <v>360</v>
      </c>
      <c r="K171">
        <v>0</v>
      </c>
      <c r="L171" t="s">
        <v>28</v>
      </c>
      <c r="M171">
        <v>24000</v>
      </c>
      <c r="N171">
        <v>2000</v>
      </c>
      <c r="O171" s="3">
        <v>1137.9919557048138</v>
      </c>
      <c r="P171" s="3">
        <v>0.56899597785240685</v>
      </c>
      <c r="Q171" t="s">
        <v>394</v>
      </c>
      <c r="R171" t="s">
        <v>400</v>
      </c>
      <c r="S171" t="s">
        <v>404</v>
      </c>
      <c r="T171">
        <v>1</v>
      </c>
      <c r="U171" t="s">
        <v>417</v>
      </c>
    </row>
    <row r="172" spans="1:21" x14ac:dyDescent="0.3">
      <c r="A172" t="s">
        <v>164</v>
      </c>
      <c r="B172" t="s">
        <v>13</v>
      </c>
      <c r="C172" t="s">
        <v>14</v>
      </c>
      <c r="D172">
        <v>0</v>
      </c>
      <c r="E172" t="s">
        <v>15</v>
      </c>
      <c r="F172" t="s">
        <v>14</v>
      </c>
      <c r="G172">
        <v>32000</v>
      </c>
      <c r="H172">
        <v>0</v>
      </c>
      <c r="I172">
        <v>550</v>
      </c>
      <c r="J172">
        <v>360</v>
      </c>
      <c r="K172">
        <v>0</v>
      </c>
      <c r="L172" t="s">
        <v>26</v>
      </c>
      <c r="M172">
        <v>32000</v>
      </c>
      <c r="N172">
        <v>2666.6666666666665</v>
      </c>
      <c r="O172" s="3">
        <v>4229.0241597138347</v>
      </c>
      <c r="P172" s="3">
        <v>1.5858840598926882</v>
      </c>
      <c r="Q172" t="s">
        <v>394</v>
      </c>
      <c r="R172" t="s">
        <v>400</v>
      </c>
      <c r="S172" t="s">
        <v>408</v>
      </c>
      <c r="T172">
        <v>1</v>
      </c>
      <c r="U172" t="s">
        <v>416</v>
      </c>
    </row>
    <row r="173" spans="1:21" x14ac:dyDescent="0.3">
      <c r="A173" t="s">
        <v>251</v>
      </c>
      <c r="B173" t="s">
        <v>13</v>
      </c>
      <c r="C173" t="s">
        <v>16</v>
      </c>
      <c r="D173">
        <v>0</v>
      </c>
      <c r="E173" t="s">
        <v>15</v>
      </c>
      <c r="F173" t="s">
        <v>16</v>
      </c>
      <c r="G173">
        <v>14911</v>
      </c>
      <c r="H173">
        <v>14507</v>
      </c>
      <c r="I173">
        <v>130</v>
      </c>
      <c r="J173">
        <v>360</v>
      </c>
      <c r="K173">
        <v>1</v>
      </c>
      <c r="L173" t="s">
        <v>26</v>
      </c>
      <c r="M173">
        <v>29418</v>
      </c>
      <c r="N173">
        <v>2451.5</v>
      </c>
      <c r="O173" s="3">
        <v>999.58752865963379</v>
      </c>
      <c r="P173" s="3">
        <v>0.40774526969595504</v>
      </c>
      <c r="Q173" t="s">
        <v>395</v>
      </c>
      <c r="R173" t="s">
        <v>400</v>
      </c>
      <c r="S173" t="s">
        <v>404</v>
      </c>
      <c r="T173">
        <v>0</v>
      </c>
      <c r="U173" t="s">
        <v>416</v>
      </c>
    </row>
    <row r="174" spans="1:21" x14ac:dyDescent="0.3">
      <c r="A174" t="s">
        <v>258</v>
      </c>
      <c r="B174" t="s">
        <v>13</v>
      </c>
      <c r="C174" t="s">
        <v>14</v>
      </c>
      <c r="D174">
        <v>2</v>
      </c>
      <c r="E174" t="s">
        <v>22</v>
      </c>
      <c r="F174" t="s">
        <v>16</v>
      </c>
      <c r="G174">
        <v>6166</v>
      </c>
      <c r="H174">
        <v>13983</v>
      </c>
      <c r="I174">
        <v>102</v>
      </c>
      <c r="J174">
        <v>360</v>
      </c>
      <c r="K174">
        <v>1</v>
      </c>
      <c r="L174" t="s">
        <v>28</v>
      </c>
      <c r="M174">
        <v>20149</v>
      </c>
      <c r="N174">
        <v>1679.0833333333333</v>
      </c>
      <c r="O174" s="3">
        <v>784.29175325602023</v>
      </c>
      <c r="P174" s="3">
        <v>0.46709519276749434</v>
      </c>
      <c r="Q174" t="s">
        <v>395</v>
      </c>
      <c r="R174" t="s">
        <v>400</v>
      </c>
      <c r="S174" t="s">
        <v>404</v>
      </c>
      <c r="T174">
        <v>0</v>
      </c>
      <c r="U174" t="s">
        <v>417</v>
      </c>
    </row>
    <row r="175" spans="1:21" x14ac:dyDescent="0.3">
      <c r="A175" t="s">
        <v>293</v>
      </c>
      <c r="B175" t="s">
        <v>13</v>
      </c>
      <c r="C175" t="s">
        <v>16</v>
      </c>
      <c r="D175">
        <v>1</v>
      </c>
      <c r="E175" t="s">
        <v>15</v>
      </c>
      <c r="F175" t="s">
        <v>16</v>
      </c>
      <c r="G175">
        <v>24797</v>
      </c>
      <c r="H175">
        <v>0</v>
      </c>
      <c r="I175">
        <v>240</v>
      </c>
      <c r="J175">
        <v>360</v>
      </c>
      <c r="K175">
        <v>1</v>
      </c>
      <c r="L175" t="s">
        <v>26</v>
      </c>
      <c r="M175">
        <v>24797</v>
      </c>
      <c r="N175">
        <v>2066.4166666666665</v>
      </c>
      <c r="O175" s="3">
        <v>1845.3923606024007</v>
      </c>
      <c r="P175" s="3">
        <v>0.89303981639830665</v>
      </c>
      <c r="Q175" t="s">
        <v>395</v>
      </c>
      <c r="R175" t="s">
        <v>400</v>
      </c>
      <c r="S175" t="s">
        <v>405</v>
      </c>
      <c r="T175">
        <v>0</v>
      </c>
      <c r="U175" t="s">
        <v>416</v>
      </c>
    </row>
    <row r="176" spans="1:21" x14ac:dyDescent="0.3">
      <c r="A176" t="s">
        <v>300</v>
      </c>
      <c r="B176" t="s">
        <v>13</v>
      </c>
      <c r="C176" t="s">
        <v>16</v>
      </c>
      <c r="D176">
        <v>0</v>
      </c>
      <c r="E176" t="s">
        <v>15</v>
      </c>
      <c r="F176" t="s">
        <v>16</v>
      </c>
      <c r="G176">
        <v>29167</v>
      </c>
      <c r="H176">
        <v>0</v>
      </c>
      <c r="I176">
        <v>185</v>
      </c>
      <c r="J176">
        <v>360</v>
      </c>
      <c r="K176">
        <v>1</v>
      </c>
      <c r="L176" t="s">
        <v>26</v>
      </c>
      <c r="M176">
        <v>29167</v>
      </c>
      <c r="N176">
        <v>2430.5833333333335</v>
      </c>
      <c r="O176" s="3">
        <v>1422.4899446310171</v>
      </c>
      <c r="P176" s="3">
        <v>0.58524631726170684</v>
      </c>
      <c r="Q176" t="s">
        <v>395</v>
      </c>
      <c r="R176" t="s">
        <v>400</v>
      </c>
      <c r="S176" t="s">
        <v>404</v>
      </c>
      <c r="T176">
        <v>0</v>
      </c>
      <c r="U176" t="s">
        <v>416</v>
      </c>
    </row>
    <row r="177" spans="1:21" x14ac:dyDescent="0.3">
      <c r="A177" t="s">
        <v>305</v>
      </c>
      <c r="B177" t="s">
        <v>25</v>
      </c>
      <c r="C177" t="s">
        <v>14</v>
      </c>
      <c r="D177">
        <v>2</v>
      </c>
      <c r="E177" t="s">
        <v>15</v>
      </c>
      <c r="F177" t="s">
        <v>16</v>
      </c>
      <c r="G177">
        <v>10000</v>
      </c>
      <c r="H177">
        <v>11666</v>
      </c>
      <c r="I177">
        <v>460</v>
      </c>
      <c r="J177">
        <v>360</v>
      </c>
      <c r="K177">
        <v>1</v>
      </c>
      <c r="L177" t="s">
        <v>17</v>
      </c>
      <c r="M177">
        <v>21666</v>
      </c>
      <c r="N177">
        <v>1805.5</v>
      </c>
      <c r="O177" s="3">
        <v>3537.0020244879347</v>
      </c>
      <c r="P177" s="3">
        <v>1.95901524480085</v>
      </c>
      <c r="Q177" t="s">
        <v>395</v>
      </c>
      <c r="R177" t="s">
        <v>400</v>
      </c>
      <c r="S177" t="s">
        <v>409</v>
      </c>
      <c r="T177">
        <v>0</v>
      </c>
      <c r="U177" t="s">
        <v>415</v>
      </c>
    </row>
    <row r="178" spans="1:21" x14ac:dyDescent="0.3">
      <c r="A178" t="s">
        <v>344</v>
      </c>
      <c r="B178" t="s">
        <v>13</v>
      </c>
      <c r="C178" t="s">
        <v>16</v>
      </c>
      <c r="D178">
        <v>1</v>
      </c>
      <c r="E178" t="s">
        <v>15</v>
      </c>
      <c r="F178" t="s">
        <v>16</v>
      </c>
      <c r="G178">
        <v>16000</v>
      </c>
      <c r="H178">
        <v>5000</v>
      </c>
      <c r="I178">
        <v>40</v>
      </c>
      <c r="J178">
        <v>360</v>
      </c>
      <c r="K178">
        <v>1</v>
      </c>
      <c r="L178" t="s">
        <v>26</v>
      </c>
      <c r="M178">
        <v>21000</v>
      </c>
      <c r="N178">
        <v>1750</v>
      </c>
      <c r="O178" s="3">
        <v>307.56539343373345</v>
      </c>
      <c r="P178" s="3">
        <v>0.17575165339070484</v>
      </c>
      <c r="Q178" t="s">
        <v>395</v>
      </c>
      <c r="R178" t="s">
        <v>400</v>
      </c>
      <c r="S178" t="s">
        <v>406</v>
      </c>
      <c r="T178">
        <v>0</v>
      </c>
      <c r="U178" t="s">
        <v>416</v>
      </c>
    </row>
    <row r="179" spans="1:21" x14ac:dyDescent="0.3">
      <c r="A179" t="s">
        <v>29</v>
      </c>
      <c r="B179" t="s">
        <v>13</v>
      </c>
      <c r="C179" t="s">
        <v>14</v>
      </c>
      <c r="D179">
        <v>2</v>
      </c>
      <c r="E179" t="s">
        <v>15</v>
      </c>
      <c r="F179" t="s">
        <v>16</v>
      </c>
      <c r="G179">
        <v>13633</v>
      </c>
      <c r="H179">
        <v>0</v>
      </c>
      <c r="I179">
        <v>280</v>
      </c>
      <c r="J179">
        <v>240</v>
      </c>
      <c r="K179">
        <v>1</v>
      </c>
      <c r="L179" t="s">
        <v>17</v>
      </c>
      <c r="M179">
        <v>13633</v>
      </c>
      <c r="N179">
        <v>1136.0833333333333</v>
      </c>
      <c r="O179" s="3">
        <v>2429.9050534234952</v>
      </c>
      <c r="P179" s="3">
        <v>2.1388440285397157</v>
      </c>
      <c r="Q179" t="s">
        <v>395</v>
      </c>
      <c r="R179" t="s">
        <v>401</v>
      </c>
      <c r="S179" t="s">
        <v>405</v>
      </c>
      <c r="T179">
        <v>0</v>
      </c>
      <c r="U179" t="s">
        <v>415</v>
      </c>
    </row>
    <row r="180" spans="1:21" x14ac:dyDescent="0.3">
      <c r="A180" t="s">
        <v>34</v>
      </c>
      <c r="B180" t="s">
        <v>13</v>
      </c>
      <c r="C180" t="s">
        <v>14</v>
      </c>
      <c r="D180">
        <v>2</v>
      </c>
      <c r="E180" t="s">
        <v>15</v>
      </c>
      <c r="F180" t="s">
        <v>16</v>
      </c>
      <c r="G180">
        <v>12173</v>
      </c>
      <c r="H180">
        <v>0</v>
      </c>
      <c r="I180">
        <v>166</v>
      </c>
      <c r="J180">
        <v>360</v>
      </c>
      <c r="K180">
        <v>0</v>
      </c>
      <c r="L180" t="s">
        <v>26</v>
      </c>
      <c r="M180">
        <v>12173</v>
      </c>
      <c r="N180">
        <v>1014.4166666666666</v>
      </c>
      <c r="O180" s="3">
        <v>1276.3963827499938</v>
      </c>
      <c r="P180" s="3">
        <v>1.2582565179495544</v>
      </c>
      <c r="Q180" t="s">
        <v>394</v>
      </c>
      <c r="R180" t="s">
        <v>401</v>
      </c>
      <c r="S180" t="s">
        <v>404</v>
      </c>
      <c r="T180">
        <v>1</v>
      </c>
      <c r="U180" t="s">
        <v>416</v>
      </c>
    </row>
    <row r="181" spans="1:21" x14ac:dyDescent="0.3">
      <c r="A181" t="s">
        <v>39</v>
      </c>
      <c r="B181" t="s">
        <v>13</v>
      </c>
      <c r="C181" t="s">
        <v>14</v>
      </c>
      <c r="D181">
        <v>0</v>
      </c>
      <c r="E181" t="s">
        <v>15</v>
      </c>
      <c r="F181" t="s">
        <v>16</v>
      </c>
      <c r="G181">
        <v>9226</v>
      </c>
      <c r="H181">
        <v>7916</v>
      </c>
      <c r="I181">
        <v>300</v>
      </c>
      <c r="J181">
        <v>360</v>
      </c>
      <c r="K181">
        <v>1</v>
      </c>
      <c r="L181" t="s">
        <v>17</v>
      </c>
      <c r="M181">
        <v>17142</v>
      </c>
      <c r="N181">
        <v>1428.5</v>
      </c>
      <c r="O181" s="3">
        <v>2306.7404507530009</v>
      </c>
      <c r="P181" s="3">
        <v>1.6147990554798746</v>
      </c>
      <c r="Q181" t="s">
        <v>395</v>
      </c>
      <c r="R181" t="s">
        <v>401</v>
      </c>
      <c r="S181" t="s">
        <v>407</v>
      </c>
      <c r="T181">
        <v>0</v>
      </c>
      <c r="U181" t="s">
        <v>415</v>
      </c>
    </row>
    <row r="182" spans="1:21" x14ac:dyDescent="0.3">
      <c r="A182" t="s">
        <v>48</v>
      </c>
      <c r="B182" t="s">
        <v>13</v>
      </c>
      <c r="C182" t="s">
        <v>14</v>
      </c>
      <c r="D182">
        <v>0</v>
      </c>
      <c r="E182" t="s">
        <v>15</v>
      </c>
      <c r="F182" t="s">
        <v>16</v>
      </c>
      <c r="G182">
        <v>7500</v>
      </c>
      <c r="H182">
        <v>3750</v>
      </c>
      <c r="I182">
        <v>275</v>
      </c>
      <c r="J182">
        <v>360</v>
      </c>
      <c r="K182">
        <v>1</v>
      </c>
      <c r="L182" t="s">
        <v>17</v>
      </c>
      <c r="M182">
        <v>11250</v>
      </c>
      <c r="N182">
        <v>937.5</v>
      </c>
      <c r="O182" s="3">
        <v>2114.5120798569174</v>
      </c>
      <c r="P182" s="3">
        <v>2.2554795518473787</v>
      </c>
      <c r="Q182" t="s">
        <v>395</v>
      </c>
      <c r="R182" t="s">
        <v>401</v>
      </c>
      <c r="S182" t="s">
        <v>405</v>
      </c>
      <c r="T182">
        <v>0</v>
      </c>
      <c r="U182" t="s">
        <v>415</v>
      </c>
    </row>
    <row r="183" spans="1:21" x14ac:dyDescent="0.3">
      <c r="A183" t="s">
        <v>57</v>
      </c>
      <c r="B183" t="s">
        <v>13</v>
      </c>
      <c r="C183" t="s">
        <v>14</v>
      </c>
      <c r="D183">
        <v>2</v>
      </c>
      <c r="E183" t="s">
        <v>15</v>
      </c>
      <c r="F183" t="s">
        <v>16</v>
      </c>
      <c r="G183">
        <v>7350</v>
      </c>
      <c r="H183">
        <v>4029</v>
      </c>
      <c r="I183">
        <v>185</v>
      </c>
      <c r="J183">
        <v>180</v>
      </c>
      <c r="K183">
        <v>1</v>
      </c>
      <c r="L183" t="s">
        <v>17</v>
      </c>
      <c r="M183">
        <v>11379</v>
      </c>
      <c r="N183">
        <v>948.25</v>
      </c>
      <c r="O183" s="3">
        <v>1821.7681821623476</v>
      </c>
      <c r="P183" s="3">
        <v>1.9211897518189798</v>
      </c>
      <c r="Q183" t="s">
        <v>395</v>
      </c>
      <c r="R183" t="s">
        <v>401</v>
      </c>
      <c r="S183" t="s">
        <v>404</v>
      </c>
      <c r="T183">
        <v>0</v>
      </c>
      <c r="U183" t="s">
        <v>415</v>
      </c>
    </row>
    <row r="184" spans="1:21" x14ac:dyDescent="0.3">
      <c r="A184" t="s">
        <v>69</v>
      </c>
      <c r="B184" t="s">
        <v>13</v>
      </c>
      <c r="C184" t="s">
        <v>16</v>
      </c>
      <c r="D184">
        <v>0</v>
      </c>
      <c r="E184" t="s">
        <v>15</v>
      </c>
      <c r="F184" t="s">
        <v>16</v>
      </c>
      <c r="G184">
        <v>6792</v>
      </c>
      <c r="H184">
        <v>3338</v>
      </c>
      <c r="I184">
        <v>187</v>
      </c>
      <c r="J184">
        <v>360</v>
      </c>
      <c r="K184">
        <v>1</v>
      </c>
      <c r="L184" t="s">
        <v>17</v>
      </c>
      <c r="M184">
        <v>10130</v>
      </c>
      <c r="N184">
        <v>844.16666666666663</v>
      </c>
      <c r="O184" s="3">
        <v>1437.8682143027038</v>
      </c>
      <c r="P184" s="3">
        <v>1.7032989705461448</v>
      </c>
      <c r="Q184" t="s">
        <v>395</v>
      </c>
      <c r="R184" t="s">
        <v>401</v>
      </c>
      <c r="S184" t="s">
        <v>404</v>
      </c>
      <c r="T184">
        <v>0</v>
      </c>
      <c r="U184" t="s">
        <v>415</v>
      </c>
    </row>
    <row r="185" spans="1:21" x14ac:dyDescent="0.3">
      <c r="A185" t="s">
        <v>106</v>
      </c>
      <c r="B185" t="s">
        <v>13</v>
      </c>
      <c r="C185" t="s">
        <v>14</v>
      </c>
      <c r="D185">
        <v>2</v>
      </c>
      <c r="E185" t="s">
        <v>15</v>
      </c>
      <c r="F185" t="s">
        <v>16</v>
      </c>
      <c r="G185">
        <v>4635</v>
      </c>
      <c r="H185">
        <v>8000</v>
      </c>
      <c r="I185">
        <v>102</v>
      </c>
      <c r="J185">
        <v>180</v>
      </c>
      <c r="K185">
        <v>1</v>
      </c>
      <c r="L185" t="s">
        <v>28</v>
      </c>
      <c r="M185">
        <v>12635</v>
      </c>
      <c r="N185">
        <v>1052.9166666666667</v>
      </c>
      <c r="O185" s="3">
        <v>1004.4343490841051</v>
      </c>
      <c r="P185" s="3">
        <v>0.95395426901537472</v>
      </c>
      <c r="Q185" t="s">
        <v>395</v>
      </c>
      <c r="R185" t="s">
        <v>401</v>
      </c>
      <c r="S185" t="s">
        <v>404</v>
      </c>
      <c r="T185">
        <v>0</v>
      </c>
      <c r="U185" t="s">
        <v>417</v>
      </c>
    </row>
    <row r="186" spans="1:21" x14ac:dyDescent="0.3">
      <c r="A186" t="s">
        <v>112</v>
      </c>
      <c r="B186" t="s">
        <v>13</v>
      </c>
      <c r="C186" t="s">
        <v>14</v>
      </c>
      <c r="D186">
        <v>3</v>
      </c>
      <c r="E186" t="s">
        <v>15</v>
      </c>
      <c r="F186" t="s">
        <v>16</v>
      </c>
      <c r="G186">
        <v>13518</v>
      </c>
      <c r="H186">
        <v>0</v>
      </c>
      <c r="I186">
        <v>390</v>
      </c>
      <c r="J186">
        <v>360</v>
      </c>
      <c r="K186">
        <v>1</v>
      </c>
      <c r="L186" t="s">
        <v>28</v>
      </c>
      <c r="M186">
        <v>13518</v>
      </c>
      <c r="N186">
        <v>1126.5</v>
      </c>
      <c r="O186" s="3">
        <v>2998.7625859789014</v>
      </c>
      <c r="P186" s="3">
        <v>2.6620173865769208</v>
      </c>
      <c r="Q186" t="s">
        <v>395</v>
      </c>
      <c r="R186" t="s">
        <v>401</v>
      </c>
      <c r="S186" t="s">
        <v>407</v>
      </c>
      <c r="T186">
        <v>0</v>
      </c>
      <c r="U186" t="s">
        <v>417</v>
      </c>
    </row>
    <row r="187" spans="1:21" x14ac:dyDescent="0.3">
      <c r="A187" t="s">
        <v>145</v>
      </c>
      <c r="B187" t="s">
        <v>25</v>
      </c>
      <c r="C187" t="s">
        <v>16</v>
      </c>
      <c r="D187">
        <v>0</v>
      </c>
      <c r="E187" t="s">
        <v>15</v>
      </c>
      <c r="F187" t="s">
        <v>16</v>
      </c>
      <c r="G187">
        <v>12500</v>
      </c>
      <c r="H187">
        <v>0</v>
      </c>
      <c r="I187">
        <v>300</v>
      </c>
      <c r="J187">
        <v>360</v>
      </c>
      <c r="K187">
        <v>0</v>
      </c>
      <c r="L187" t="s">
        <v>17</v>
      </c>
      <c r="M187">
        <v>12500</v>
      </c>
      <c r="N187">
        <v>1041.6666666666667</v>
      </c>
      <c r="O187" s="3">
        <v>2306.7404507530009</v>
      </c>
      <c r="P187" s="3">
        <v>2.2144708327228808</v>
      </c>
      <c r="Q187" t="s">
        <v>394</v>
      </c>
      <c r="R187" t="s">
        <v>401</v>
      </c>
      <c r="S187" t="s">
        <v>407</v>
      </c>
      <c r="T187">
        <v>1</v>
      </c>
      <c r="U187" t="s">
        <v>415</v>
      </c>
    </row>
    <row r="188" spans="1:21" x14ac:dyDescent="0.3">
      <c r="A188" t="s">
        <v>165</v>
      </c>
      <c r="B188" t="s">
        <v>13</v>
      </c>
      <c r="C188" t="s">
        <v>14</v>
      </c>
      <c r="D188">
        <v>2</v>
      </c>
      <c r="E188" t="s">
        <v>15</v>
      </c>
      <c r="F188" t="s">
        <v>14</v>
      </c>
      <c r="G188">
        <v>10890</v>
      </c>
      <c r="H188">
        <v>0</v>
      </c>
      <c r="I188">
        <v>260</v>
      </c>
      <c r="J188">
        <v>12</v>
      </c>
      <c r="K188">
        <v>1</v>
      </c>
      <c r="L188" t="s">
        <v>28</v>
      </c>
      <c r="M188">
        <v>10890</v>
      </c>
      <c r="N188">
        <v>907.5</v>
      </c>
      <c r="O188" s="3">
        <v>22677.143439624109</v>
      </c>
      <c r="P188" s="3">
        <v>24.988587812257972</v>
      </c>
      <c r="Q188" t="s">
        <v>395</v>
      </c>
      <c r="R188" t="s">
        <v>401</v>
      </c>
      <c r="S188" t="s">
        <v>405</v>
      </c>
      <c r="T188">
        <v>0</v>
      </c>
      <c r="U188" t="s">
        <v>417</v>
      </c>
    </row>
    <row r="189" spans="1:21" x14ac:dyDescent="0.3">
      <c r="A189" t="s">
        <v>166</v>
      </c>
      <c r="B189" t="s">
        <v>25</v>
      </c>
      <c r="C189" t="s">
        <v>16</v>
      </c>
      <c r="D189">
        <v>0</v>
      </c>
      <c r="E189" t="s">
        <v>15</v>
      </c>
      <c r="F189" t="s">
        <v>16</v>
      </c>
      <c r="G189">
        <v>12941</v>
      </c>
      <c r="H189">
        <v>0</v>
      </c>
      <c r="I189">
        <v>150</v>
      </c>
      <c r="J189">
        <v>300</v>
      </c>
      <c r="K189">
        <v>1</v>
      </c>
      <c r="L189" t="s">
        <v>17</v>
      </c>
      <c r="M189">
        <v>12941</v>
      </c>
      <c r="N189">
        <v>1078.4166666666667</v>
      </c>
      <c r="O189" s="3">
        <v>1207.840625193197</v>
      </c>
      <c r="P189" s="3">
        <v>1.1200129435374671</v>
      </c>
      <c r="Q189" t="s">
        <v>395</v>
      </c>
      <c r="R189" t="s">
        <v>401</v>
      </c>
      <c r="S189" t="s">
        <v>404</v>
      </c>
      <c r="T189">
        <v>0</v>
      </c>
      <c r="U189" t="s">
        <v>415</v>
      </c>
    </row>
    <row r="190" spans="1:21" x14ac:dyDescent="0.3">
      <c r="A190" t="s">
        <v>200</v>
      </c>
      <c r="B190" t="s">
        <v>13</v>
      </c>
      <c r="C190" t="s">
        <v>14</v>
      </c>
      <c r="D190">
        <v>3</v>
      </c>
      <c r="E190" t="s">
        <v>15</v>
      </c>
      <c r="F190" t="s">
        <v>16</v>
      </c>
      <c r="G190">
        <v>15312</v>
      </c>
      <c r="H190">
        <v>0</v>
      </c>
      <c r="I190">
        <v>187</v>
      </c>
      <c r="J190">
        <v>360</v>
      </c>
      <c r="K190">
        <v>0</v>
      </c>
      <c r="L190" t="s">
        <v>17</v>
      </c>
      <c r="M190">
        <v>15312</v>
      </c>
      <c r="N190">
        <v>1276</v>
      </c>
      <c r="O190" s="3">
        <v>1437.8682143027038</v>
      </c>
      <c r="P190" s="3">
        <v>1.1268559673218681</v>
      </c>
      <c r="Q190" t="s">
        <v>394</v>
      </c>
      <c r="R190" t="s">
        <v>401</v>
      </c>
      <c r="S190" t="s">
        <v>404</v>
      </c>
      <c r="T190">
        <v>1</v>
      </c>
      <c r="U190" t="s">
        <v>415</v>
      </c>
    </row>
    <row r="191" spans="1:21" x14ac:dyDescent="0.3">
      <c r="A191" t="s">
        <v>205</v>
      </c>
      <c r="B191" t="s">
        <v>13</v>
      </c>
      <c r="C191" t="s">
        <v>14</v>
      </c>
      <c r="D191">
        <v>3</v>
      </c>
      <c r="E191" t="s">
        <v>15</v>
      </c>
      <c r="F191" t="s">
        <v>16</v>
      </c>
      <c r="G191">
        <v>10166</v>
      </c>
      <c r="H191">
        <v>750</v>
      </c>
      <c r="I191">
        <v>150</v>
      </c>
      <c r="J191">
        <v>360</v>
      </c>
      <c r="K191">
        <v>1</v>
      </c>
      <c r="L191" t="s">
        <v>17</v>
      </c>
      <c r="M191">
        <v>10916</v>
      </c>
      <c r="N191">
        <v>909.66666666666663</v>
      </c>
      <c r="O191" s="3">
        <v>1153.3702253765005</v>
      </c>
      <c r="P191" s="3">
        <v>1.2679042418942841</v>
      </c>
      <c r="Q191" t="s">
        <v>395</v>
      </c>
      <c r="R191" t="s">
        <v>401</v>
      </c>
      <c r="S191" t="s">
        <v>404</v>
      </c>
      <c r="T191">
        <v>0</v>
      </c>
      <c r="U191" t="s">
        <v>415</v>
      </c>
    </row>
    <row r="192" spans="1:21" x14ac:dyDescent="0.3">
      <c r="A192" t="s">
        <v>209</v>
      </c>
      <c r="B192" t="s">
        <v>13</v>
      </c>
      <c r="C192" t="s">
        <v>14</v>
      </c>
      <c r="D192">
        <v>0</v>
      </c>
      <c r="E192" t="s">
        <v>22</v>
      </c>
      <c r="F192" t="s">
        <v>16</v>
      </c>
      <c r="G192">
        <v>13083</v>
      </c>
      <c r="H192">
        <v>0</v>
      </c>
      <c r="I192">
        <v>125</v>
      </c>
      <c r="J192">
        <v>360</v>
      </c>
      <c r="K192">
        <v>1</v>
      </c>
      <c r="L192" t="s">
        <v>28</v>
      </c>
      <c r="M192">
        <v>13083</v>
      </c>
      <c r="N192">
        <v>1090.25</v>
      </c>
      <c r="O192" s="3">
        <v>961.14185448041712</v>
      </c>
      <c r="P192" s="3">
        <v>0.88157932078002033</v>
      </c>
      <c r="Q192" t="s">
        <v>395</v>
      </c>
      <c r="R192" t="s">
        <v>401</v>
      </c>
      <c r="S192" t="s">
        <v>404</v>
      </c>
      <c r="T192">
        <v>0</v>
      </c>
      <c r="U192" t="s">
        <v>417</v>
      </c>
    </row>
    <row r="193" spans="1:21" x14ac:dyDescent="0.3">
      <c r="A193" t="s">
        <v>210</v>
      </c>
      <c r="B193" t="s">
        <v>13</v>
      </c>
      <c r="C193" t="s">
        <v>14</v>
      </c>
      <c r="D193">
        <v>2</v>
      </c>
      <c r="E193" t="s">
        <v>15</v>
      </c>
      <c r="F193" t="s">
        <v>16</v>
      </c>
      <c r="G193">
        <v>7874</v>
      </c>
      <c r="H193">
        <v>3967</v>
      </c>
      <c r="I193">
        <v>336</v>
      </c>
      <c r="J193">
        <v>360</v>
      </c>
      <c r="K193">
        <v>1</v>
      </c>
      <c r="L193" t="s">
        <v>28</v>
      </c>
      <c r="M193">
        <v>11841</v>
      </c>
      <c r="N193">
        <v>986.75</v>
      </c>
      <c r="O193" s="3">
        <v>2583.5493048433609</v>
      </c>
      <c r="P193" s="3">
        <v>2.6182409980677588</v>
      </c>
      <c r="Q193" t="s">
        <v>395</v>
      </c>
      <c r="R193" t="s">
        <v>401</v>
      </c>
      <c r="S193" t="s">
        <v>407</v>
      </c>
      <c r="T193">
        <v>0</v>
      </c>
      <c r="U193" t="s">
        <v>417</v>
      </c>
    </row>
    <row r="194" spans="1:21" x14ac:dyDescent="0.3">
      <c r="A194" t="s">
        <v>215</v>
      </c>
      <c r="B194" t="s">
        <v>13</v>
      </c>
      <c r="C194" t="s">
        <v>14</v>
      </c>
      <c r="D194">
        <v>1</v>
      </c>
      <c r="E194" t="s">
        <v>15</v>
      </c>
      <c r="F194" t="s">
        <v>16</v>
      </c>
      <c r="G194">
        <v>10000</v>
      </c>
      <c r="H194">
        <v>2690</v>
      </c>
      <c r="I194">
        <v>412</v>
      </c>
      <c r="J194">
        <v>360</v>
      </c>
      <c r="K194">
        <v>1</v>
      </c>
      <c r="L194" t="s">
        <v>26</v>
      </c>
      <c r="M194">
        <v>12690</v>
      </c>
      <c r="N194">
        <v>1057.5</v>
      </c>
      <c r="O194" s="3">
        <v>3167.9235523674547</v>
      </c>
      <c r="P194" s="3">
        <v>2.9956723899455837</v>
      </c>
      <c r="Q194" t="s">
        <v>395</v>
      </c>
      <c r="R194" t="s">
        <v>401</v>
      </c>
      <c r="S194" t="s">
        <v>409</v>
      </c>
      <c r="T194">
        <v>0</v>
      </c>
      <c r="U194" t="s">
        <v>416</v>
      </c>
    </row>
    <row r="195" spans="1:21" x14ac:dyDescent="0.3">
      <c r="A195" t="s">
        <v>238</v>
      </c>
      <c r="B195" t="s">
        <v>13</v>
      </c>
      <c r="C195" t="s">
        <v>14</v>
      </c>
      <c r="D195">
        <v>0</v>
      </c>
      <c r="E195" t="s">
        <v>15</v>
      </c>
      <c r="F195" t="s">
        <v>16</v>
      </c>
      <c r="G195">
        <v>7830</v>
      </c>
      <c r="H195">
        <v>2183</v>
      </c>
      <c r="I195">
        <v>212</v>
      </c>
      <c r="J195">
        <v>360</v>
      </c>
      <c r="K195">
        <v>1</v>
      </c>
      <c r="L195" t="s">
        <v>28</v>
      </c>
      <c r="M195">
        <v>10013</v>
      </c>
      <c r="N195">
        <v>834.41666666666663</v>
      </c>
      <c r="O195" s="3">
        <v>1630.0965851987874</v>
      </c>
      <c r="P195" s="3">
        <v>1.9535762531095024</v>
      </c>
      <c r="Q195" t="s">
        <v>395</v>
      </c>
      <c r="R195" t="s">
        <v>401</v>
      </c>
      <c r="S195" t="s">
        <v>405</v>
      </c>
      <c r="T195">
        <v>0</v>
      </c>
      <c r="U195" t="s">
        <v>417</v>
      </c>
    </row>
    <row r="196" spans="1:21" x14ac:dyDescent="0.3">
      <c r="A196" t="s">
        <v>268</v>
      </c>
      <c r="B196" t="s">
        <v>13</v>
      </c>
      <c r="C196" t="s">
        <v>14</v>
      </c>
      <c r="D196">
        <v>0</v>
      </c>
      <c r="E196" t="s">
        <v>15</v>
      </c>
      <c r="F196" t="s">
        <v>16</v>
      </c>
      <c r="G196">
        <v>10000</v>
      </c>
      <c r="H196">
        <v>0</v>
      </c>
      <c r="I196">
        <v>125</v>
      </c>
      <c r="J196">
        <v>360</v>
      </c>
      <c r="K196">
        <v>1</v>
      </c>
      <c r="L196" t="s">
        <v>17</v>
      </c>
      <c r="M196">
        <v>10000</v>
      </c>
      <c r="N196">
        <v>833.33333333333337</v>
      </c>
      <c r="O196" s="3">
        <v>961.14185448041712</v>
      </c>
      <c r="P196" s="3">
        <v>1.1533702253765006</v>
      </c>
      <c r="Q196" t="s">
        <v>395</v>
      </c>
      <c r="R196" t="s">
        <v>401</v>
      </c>
      <c r="S196" t="s">
        <v>404</v>
      </c>
      <c r="T196">
        <v>0</v>
      </c>
      <c r="U196" t="s">
        <v>415</v>
      </c>
    </row>
    <row r="197" spans="1:21" x14ac:dyDescent="0.3">
      <c r="A197" t="s">
        <v>284</v>
      </c>
      <c r="B197" t="s">
        <v>13</v>
      </c>
      <c r="C197" t="s">
        <v>14</v>
      </c>
      <c r="D197">
        <v>1</v>
      </c>
      <c r="E197" t="s">
        <v>15</v>
      </c>
      <c r="F197" t="s">
        <v>16</v>
      </c>
      <c r="G197">
        <v>18840</v>
      </c>
      <c r="H197">
        <v>0</v>
      </c>
      <c r="I197">
        <v>234</v>
      </c>
      <c r="J197">
        <v>360</v>
      </c>
      <c r="K197">
        <v>1</v>
      </c>
      <c r="L197" t="s">
        <v>28</v>
      </c>
      <c r="M197">
        <v>18840</v>
      </c>
      <c r="N197">
        <v>1570</v>
      </c>
      <c r="O197" s="3">
        <v>1799.2575515873407</v>
      </c>
      <c r="P197" s="3">
        <v>1.1460239182084972</v>
      </c>
      <c r="Q197" t="s">
        <v>395</v>
      </c>
      <c r="R197" t="s">
        <v>401</v>
      </c>
      <c r="S197" t="s">
        <v>405</v>
      </c>
      <c r="T197">
        <v>0</v>
      </c>
      <c r="U197" t="s">
        <v>417</v>
      </c>
    </row>
    <row r="198" spans="1:21" x14ac:dyDescent="0.3">
      <c r="A198" t="s">
        <v>310</v>
      </c>
      <c r="B198" t="s">
        <v>13</v>
      </c>
      <c r="C198" t="s">
        <v>14</v>
      </c>
      <c r="D198">
        <v>1</v>
      </c>
      <c r="E198" t="s">
        <v>15</v>
      </c>
      <c r="F198" t="s">
        <v>16</v>
      </c>
      <c r="G198">
        <v>8333</v>
      </c>
      <c r="H198">
        <v>4000</v>
      </c>
      <c r="I198">
        <v>125</v>
      </c>
      <c r="J198">
        <v>360</v>
      </c>
      <c r="K198">
        <v>1</v>
      </c>
      <c r="L198" t="s">
        <v>17</v>
      </c>
      <c r="M198">
        <v>12333</v>
      </c>
      <c r="N198">
        <v>1027.75</v>
      </c>
      <c r="O198" s="3">
        <v>961.14185448041712</v>
      </c>
      <c r="P198" s="3">
        <v>0.93519032301670357</v>
      </c>
      <c r="Q198" t="s">
        <v>395</v>
      </c>
      <c r="R198" t="s">
        <v>401</v>
      </c>
      <c r="S198" t="s">
        <v>404</v>
      </c>
      <c r="T198">
        <v>0</v>
      </c>
      <c r="U198" t="s">
        <v>415</v>
      </c>
    </row>
    <row r="199" spans="1:21" x14ac:dyDescent="0.3">
      <c r="A199" t="s">
        <v>323</v>
      </c>
      <c r="B199" t="s">
        <v>25</v>
      </c>
      <c r="C199" t="s">
        <v>16</v>
      </c>
      <c r="D199">
        <v>0</v>
      </c>
      <c r="E199" t="s">
        <v>15</v>
      </c>
      <c r="F199" t="s">
        <v>14</v>
      </c>
      <c r="G199">
        <v>14987</v>
      </c>
      <c r="H199">
        <v>0</v>
      </c>
      <c r="I199">
        <v>177</v>
      </c>
      <c r="J199">
        <v>360</v>
      </c>
      <c r="K199">
        <v>1</v>
      </c>
      <c r="L199" t="s">
        <v>28</v>
      </c>
      <c r="M199">
        <v>14987</v>
      </c>
      <c r="N199">
        <v>1248.9166666666667</v>
      </c>
      <c r="O199" s="3">
        <v>1360.9768659442707</v>
      </c>
      <c r="P199" s="3">
        <v>1.0897259218877191</v>
      </c>
      <c r="Q199" t="s">
        <v>395</v>
      </c>
      <c r="R199" t="s">
        <v>401</v>
      </c>
      <c r="S199" t="s">
        <v>404</v>
      </c>
      <c r="T199">
        <v>0</v>
      </c>
      <c r="U199" t="s">
        <v>417</v>
      </c>
    </row>
    <row r="200" spans="1:21" x14ac:dyDescent="0.3">
      <c r="A200" t="s">
        <v>372</v>
      </c>
      <c r="B200" t="s">
        <v>13</v>
      </c>
      <c r="C200" t="s">
        <v>16</v>
      </c>
      <c r="D200">
        <v>0</v>
      </c>
      <c r="E200" t="s">
        <v>15</v>
      </c>
      <c r="F200" t="s">
        <v>16</v>
      </c>
      <c r="G200">
        <v>2283</v>
      </c>
      <c r="H200">
        <v>15000</v>
      </c>
      <c r="I200">
        <v>106</v>
      </c>
      <c r="J200">
        <v>360</v>
      </c>
      <c r="K200">
        <v>0</v>
      </c>
      <c r="L200" t="s">
        <v>28</v>
      </c>
      <c r="M200">
        <v>17283</v>
      </c>
      <c r="N200">
        <v>1440.25</v>
      </c>
      <c r="O200" s="3">
        <v>815.04829259939368</v>
      </c>
      <c r="P200" s="3">
        <v>0.56590751091782232</v>
      </c>
      <c r="Q200" t="s">
        <v>394</v>
      </c>
      <c r="R200" t="s">
        <v>401</v>
      </c>
      <c r="S200" t="s">
        <v>404</v>
      </c>
      <c r="T200">
        <v>1</v>
      </c>
      <c r="U200" t="s">
        <v>417</v>
      </c>
    </row>
    <row r="201" spans="1:21" x14ac:dyDescent="0.3">
      <c r="A201" t="s">
        <v>381</v>
      </c>
      <c r="B201" t="s">
        <v>25</v>
      </c>
      <c r="C201" t="s">
        <v>14</v>
      </c>
      <c r="D201">
        <v>0</v>
      </c>
      <c r="E201" t="s">
        <v>15</v>
      </c>
      <c r="F201" t="s">
        <v>16</v>
      </c>
      <c r="G201">
        <v>8550</v>
      </c>
      <c r="H201">
        <v>4255</v>
      </c>
      <c r="I201">
        <v>96</v>
      </c>
      <c r="J201">
        <v>360</v>
      </c>
      <c r="K201">
        <v>0</v>
      </c>
      <c r="L201" t="s">
        <v>17</v>
      </c>
      <c r="M201">
        <v>12805</v>
      </c>
      <c r="N201">
        <v>1067.0833333333333</v>
      </c>
      <c r="O201" s="3">
        <v>738.15694424096023</v>
      </c>
      <c r="P201" s="3">
        <v>0.69175191963229388</v>
      </c>
      <c r="Q201" t="s">
        <v>394</v>
      </c>
      <c r="R201" t="s">
        <v>401</v>
      </c>
      <c r="S201" t="s">
        <v>406</v>
      </c>
      <c r="T201">
        <v>1</v>
      </c>
      <c r="U201" t="s">
        <v>415</v>
      </c>
    </row>
    <row r="202" spans="1:21" x14ac:dyDescent="0.3">
      <c r="A202" t="s">
        <v>102</v>
      </c>
      <c r="B202" t="s">
        <v>13</v>
      </c>
      <c r="C202" t="s">
        <v>14</v>
      </c>
      <c r="D202">
        <v>3</v>
      </c>
      <c r="E202" t="s">
        <v>15</v>
      </c>
      <c r="F202" t="s">
        <v>16</v>
      </c>
      <c r="G202">
        <v>72529</v>
      </c>
      <c r="H202">
        <v>0</v>
      </c>
      <c r="I202">
        <v>360</v>
      </c>
      <c r="J202">
        <v>360</v>
      </c>
      <c r="K202">
        <v>1</v>
      </c>
      <c r="L202" t="s">
        <v>17</v>
      </c>
      <c r="M202">
        <v>72529</v>
      </c>
      <c r="N202">
        <v>6044.083333333333</v>
      </c>
      <c r="O202" s="3">
        <v>2768.0885409036009</v>
      </c>
      <c r="P202" s="3">
        <v>0.45798318590968046</v>
      </c>
      <c r="Q202" t="s">
        <v>395</v>
      </c>
      <c r="R202" t="s">
        <v>402</v>
      </c>
      <c r="S202" t="s">
        <v>407</v>
      </c>
      <c r="T202">
        <v>0</v>
      </c>
      <c r="U202" t="s">
        <v>415</v>
      </c>
    </row>
    <row r="203" spans="1:21" x14ac:dyDescent="0.3">
      <c r="A203" t="s">
        <v>18</v>
      </c>
      <c r="B203" t="s">
        <v>13</v>
      </c>
      <c r="C203" t="s">
        <v>14</v>
      </c>
      <c r="D203">
        <v>1</v>
      </c>
      <c r="E203" t="s">
        <v>15</v>
      </c>
      <c r="F203" t="s">
        <v>16</v>
      </c>
      <c r="G203">
        <v>3076</v>
      </c>
      <c r="H203">
        <v>1500</v>
      </c>
      <c r="I203">
        <v>126</v>
      </c>
      <c r="J203">
        <v>360</v>
      </c>
      <c r="K203">
        <v>1</v>
      </c>
      <c r="L203" t="s">
        <v>17</v>
      </c>
      <c r="M203">
        <v>4576</v>
      </c>
      <c r="N203">
        <v>381.33333333333331</v>
      </c>
      <c r="O203" s="3">
        <v>968.83098931626046</v>
      </c>
      <c r="P203" s="3">
        <v>2.5406407062489347</v>
      </c>
      <c r="Q203" t="s">
        <v>395</v>
      </c>
      <c r="R203" t="s">
        <v>403</v>
      </c>
      <c r="S203" t="s">
        <v>404</v>
      </c>
      <c r="T203">
        <v>0</v>
      </c>
      <c r="U203" t="s">
        <v>415</v>
      </c>
    </row>
    <row r="204" spans="1:21" x14ac:dyDescent="0.3">
      <c r="A204" t="s">
        <v>20</v>
      </c>
      <c r="B204" t="s">
        <v>13</v>
      </c>
      <c r="C204" t="s">
        <v>14</v>
      </c>
      <c r="D204">
        <v>2</v>
      </c>
      <c r="E204" t="s">
        <v>15</v>
      </c>
      <c r="F204" t="s">
        <v>16</v>
      </c>
      <c r="G204">
        <v>2340</v>
      </c>
      <c r="H204">
        <v>2546</v>
      </c>
      <c r="I204">
        <v>100</v>
      </c>
      <c r="J204">
        <v>360</v>
      </c>
      <c r="K204">
        <v>0</v>
      </c>
      <c r="L204" t="s">
        <v>17</v>
      </c>
      <c r="M204">
        <v>4886</v>
      </c>
      <c r="N204">
        <v>407.16666666666669</v>
      </c>
      <c r="O204" s="3">
        <v>768.91348358433368</v>
      </c>
      <c r="P204" s="3">
        <v>1.8884489977511265</v>
      </c>
      <c r="Q204" t="s">
        <v>394</v>
      </c>
      <c r="R204" t="s">
        <v>403</v>
      </c>
      <c r="S204" t="s">
        <v>404</v>
      </c>
      <c r="T204">
        <v>1</v>
      </c>
      <c r="U204" t="s">
        <v>415</v>
      </c>
    </row>
    <row r="205" spans="1:21" x14ac:dyDescent="0.3">
      <c r="A205" t="s">
        <v>21</v>
      </c>
      <c r="B205" t="s">
        <v>13</v>
      </c>
      <c r="C205" t="s">
        <v>16</v>
      </c>
      <c r="D205">
        <v>0</v>
      </c>
      <c r="E205" t="s">
        <v>22</v>
      </c>
      <c r="F205" t="s">
        <v>16</v>
      </c>
      <c r="G205">
        <v>3276</v>
      </c>
      <c r="H205">
        <v>0</v>
      </c>
      <c r="I205">
        <v>78</v>
      </c>
      <c r="J205">
        <v>360</v>
      </c>
      <c r="K205">
        <v>1</v>
      </c>
      <c r="L205" t="s">
        <v>17</v>
      </c>
      <c r="M205">
        <v>3276</v>
      </c>
      <c r="N205">
        <v>273</v>
      </c>
      <c r="O205" s="3">
        <v>599.75251719578023</v>
      </c>
      <c r="P205" s="3">
        <v>2.1968956673838105</v>
      </c>
      <c r="Q205" t="s">
        <v>395</v>
      </c>
      <c r="R205" t="s">
        <v>403</v>
      </c>
      <c r="S205" t="s">
        <v>406</v>
      </c>
      <c r="T205">
        <v>0</v>
      </c>
      <c r="U205" t="s">
        <v>415</v>
      </c>
    </row>
    <row r="206" spans="1:21" x14ac:dyDescent="0.3">
      <c r="A206" t="s">
        <v>24</v>
      </c>
      <c r="B206" t="s">
        <v>25</v>
      </c>
      <c r="C206" t="s">
        <v>16</v>
      </c>
      <c r="D206">
        <v>1</v>
      </c>
      <c r="E206" t="s">
        <v>22</v>
      </c>
      <c r="F206" t="s">
        <v>16</v>
      </c>
      <c r="G206">
        <v>2226</v>
      </c>
      <c r="H206">
        <v>0</v>
      </c>
      <c r="I206">
        <v>59</v>
      </c>
      <c r="J206">
        <v>360</v>
      </c>
      <c r="K206">
        <v>1</v>
      </c>
      <c r="L206" t="s">
        <v>26</v>
      </c>
      <c r="M206">
        <v>2226</v>
      </c>
      <c r="N206">
        <v>185.5</v>
      </c>
      <c r="O206" s="3">
        <v>453.65895531475684</v>
      </c>
      <c r="P206" s="3">
        <v>2.4456008372763174</v>
      </c>
      <c r="Q206" t="s">
        <v>395</v>
      </c>
      <c r="R206" t="s">
        <v>403</v>
      </c>
      <c r="S206" t="s">
        <v>406</v>
      </c>
      <c r="T206">
        <v>0</v>
      </c>
      <c r="U206" t="s">
        <v>416</v>
      </c>
    </row>
    <row r="207" spans="1:21" x14ac:dyDescent="0.3">
      <c r="A207" t="s">
        <v>27</v>
      </c>
      <c r="B207" t="s">
        <v>13</v>
      </c>
      <c r="C207" t="s">
        <v>14</v>
      </c>
      <c r="D207">
        <v>2</v>
      </c>
      <c r="E207" t="s">
        <v>22</v>
      </c>
      <c r="F207" t="s">
        <v>16</v>
      </c>
      <c r="G207">
        <v>3881</v>
      </c>
      <c r="H207">
        <v>0</v>
      </c>
      <c r="I207">
        <v>147</v>
      </c>
      <c r="J207">
        <v>360</v>
      </c>
      <c r="K207">
        <v>0</v>
      </c>
      <c r="L207" t="s">
        <v>28</v>
      </c>
      <c r="M207">
        <v>3881</v>
      </c>
      <c r="N207">
        <v>323.41666666666669</v>
      </c>
      <c r="O207" s="3">
        <v>1130.3028208689702</v>
      </c>
      <c r="P207" s="3">
        <v>3.4948811776417528</v>
      </c>
      <c r="Q207" t="s">
        <v>394</v>
      </c>
      <c r="R207" t="s">
        <v>403</v>
      </c>
      <c r="S207" t="s">
        <v>404</v>
      </c>
      <c r="T207">
        <v>1</v>
      </c>
      <c r="U207" t="s">
        <v>417</v>
      </c>
    </row>
    <row r="208" spans="1:21" x14ac:dyDescent="0.3">
      <c r="A208" t="s">
        <v>30</v>
      </c>
      <c r="B208" t="s">
        <v>13</v>
      </c>
      <c r="C208" t="s">
        <v>16</v>
      </c>
      <c r="D208">
        <v>0</v>
      </c>
      <c r="E208" t="s">
        <v>22</v>
      </c>
      <c r="F208" t="s">
        <v>16</v>
      </c>
      <c r="G208">
        <v>2400</v>
      </c>
      <c r="H208">
        <v>2400</v>
      </c>
      <c r="I208">
        <v>123</v>
      </c>
      <c r="J208">
        <v>360</v>
      </c>
      <c r="K208">
        <v>1</v>
      </c>
      <c r="L208" t="s">
        <v>26</v>
      </c>
      <c r="M208">
        <v>4800</v>
      </c>
      <c r="N208">
        <v>400</v>
      </c>
      <c r="O208" s="3">
        <v>945.76358480873034</v>
      </c>
      <c r="P208" s="3">
        <v>2.3644089620218258</v>
      </c>
      <c r="Q208" t="s">
        <v>395</v>
      </c>
      <c r="R208" t="s">
        <v>403</v>
      </c>
      <c r="S208" t="s">
        <v>404</v>
      </c>
      <c r="T208">
        <v>0</v>
      </c>
      <c r="U208" t="s">
        <v>416</v>
      </c>
    </row>
    <row r="209" spans="1:21" x14ac:dyDescent="0.3">
      <c r="A209" t="s">
        <v>31</v>
      </c>
      <c r="B209" t="s">
        <v>13</v>
      </c>
      <c r="C209" t="s">
        <v>16</v>
      </c>
      <c r="D209">
        <v>0</v>
      </c>
      <c r="E209" t="s">
        <v>22</v>
      </c>
      <c r="F209" t="s">
        <v>16</v>
      </c>
      <c r="G209">
        <v>3091</v>
      </c>
      <c r="H209">
        <v>0</v>
      </c>
      <c r="I209">
        <v>90</v>
      </c>
      <c r="J209">
        <v>360</v>
      </c>
      <c r="K209">
        <v>1</v>
      </c>
      <c r="L209" t="s">
        <v>17</v>
      </c>
      <c r="M209">
        <v>3091</v>
      </c>
      <c r="N209">
        <v>257.58333333333331</v>
      </c>
      <c r="O209" s="3">
        <v>692.02213522590023</v>
      </c>
      <c r="P209" s="3">
        <v>2.6865951545489497</v>
      </c>
      <c r="Q209" t="s">
        <v>395</v>
      </c>
      <c r="R209" t="s">
        <v>403</v>
      </c>
      <c r="S209" t="s">
        <v>406</v>
      </c>
      <c r="T209">
        <v>0</v>
      </c>
      <c r="U209" t="s">
        <v>415</v>
      </c>
    </row>
    <row r="210" spans="1:21" x14ac:dyDescent="0.3">
      <c r="A210" t="s">
        <v>32</v>
      </c>
      <c r="B210" t="s">
        <v>13</v>
      </c>
      <c r="C210" t="s">
        <v>14</v>
      </c>
      <c r="D210">
        <v>1</v>
      </c>
      <c r="E210" t="s">
        <v>15</v>
      </c>
      <c r="F210" t="s">
        <v>16</v>
      </c>
      <c r="G210">
        <v>2185</v>
      </c>
      <c r="H210">
        <v>1516</v>
      </c>
      <c r="I210">
        <v>162</v>
      </c>
      <c r="J210">
        <v>360</v>
      </c>
      <c r="K210">
        <v>1</v>
      </c>
      <c r="L210" t="s">
        <v>26</v>
      </c>
      <c r="M210">
        <v>3701</v>
      </c>
      <c r="N210">
        <v>308.41666666666669</v>
      </c>
      <c r="O210" s="3">
        <v>1245.6398434066205</v>
      </c>
      <c r="P210" s="3">
        <v>4.0388214322830169</v>
      </c>
      <c r="Q210" t="s">
        <v>395</v>
      </c>
      <c r="R210" t="s">
        <v>403</v>
      </c>
      <c r="S210" t="s">
        <v>404</v>
      </c>
      <c r="T210">
        <v>0</v>
      </c>
      <c r="U210" t="s">
        <v>416</v>
      </c>
    </row>
    <row r="211" spans="1:21" x14ac:dyDescent="0.3">
      <c r="A211" t="s">
        <v>33</v>
      </c>
      <c r="B211" t="s">
        <v>13</v>
      </c>
      <c r="C211" t="s">
        <v>16</v>
      </c>
      <c r="D211">
        <v>3</v>
      </c>
      <c r="E211" t="s">
        <v>15</v>
      </c>
      <c r="F211" t="s">
        <v>16</v>
      </c>
      <c r="G211">
        <v>4166</v>
      </c>
      <c r="H211">
        <v>0</v>
      </c>
      <c r="I211">
        <v>40</v>
      </c>
      <c r="J211">
        <v>180</v>
      </c>
      <c r="K211">
        <v>0</v>
      </c>
      <c r="L211" t="s">
        <v>17</v>
      </c>
      <c r="M211">
        <v>4166</v>
      </c>
      <c r="N211">
        <v>347.16666666666669</v>
      </c>
      <c r="O211" s="3">
        <v>393.89582317023729</v>
      </c>
      <c r="P211" s="3">
        <v>1.1346015069713988</v>
      </c>
      <c r="Q211" t="s">
        <v>394</v>
      </c>
      <c r="R211" t="s">
        <v>403</v>
      </c>
      <c r="S211" t="s">
        <v>406</v>
      </c>
      <c r="T211">
        <v>1</v>
      </c>
      <c r="U211" t="s">
        <v>415</v>
      </c>
    </row>
    <row r="212" spans="1:21" x14ac:dyDescent="0.3">
      <c r="A212" t="s">
        <v>35</v>
      </c>
      <c r="B212" t="s">
        <v>25</v>
      </c>
      <c r="C212" t="s">
        <v>16</v>
      </c>
      <c r="D212">
        <v>0</v>
      </c>
      <c r="E212" t="s">
        <v>15</v>
      </c>
      <c r="F212" t="s">
        <v>16</v>
      </c>
      <c r="G212">
        <v>4666</v>
      </c>
      <c r="H212">
        <v>0</v>
      </c>
      <c r="I212">
        <v>124</v>
      </c>
      <c r="J212">
        <v>360</v>
      </c>
      <c r="K212">
        <v>1</v>
      </c>
      <c r="L212" t="s">
        <v>26</v>
      </c>
      <c r="M212">
        <v>4666</v>
      </c>
      <c r="N212">
        <v>388.83333333333331</v>
      </c>
      <c r="O212" s="3">
        <v>953.45271964457379</v>
      </c>
      <c r="P212" s="3">
        <v>2.4520858627807298</v>
      </c>
      <c r="Q212" t="s">
        <v>395</v>
      </c>
      <c r="R212" t="s">
        <v>403</v>
      </c>
      <c r="S212" t="s">
        <v>404</v>
      </c>
      <c r="T212">
        <v>0</v>
      </c>
      <c r="U212" t="s">
        <v>416</v>
      </c>
    </row>
    <row r="213" spans="1:21" x14ac:dyDescent="0.3">
      <c r="A213" t="s">
        <v>38</v>
      </c>
      <c r="B213" t="s">
        <v>13</v>
      </c>
      <c r="C213" t="s">
        <v>14</v>
      </c>
      <c r="D213">
        <v>3</v>
      </c>
      <c r="E213" t="s">
        <v>15</v>
      </c>
      <c r="F213" t="s">
        <v>16</v>
      </c>
      <c r="G213">
        <v>3786</v>
      </c>
      <c r="H213">
        <v>333</v>
      </c>
      <c r="I213">
        <v>126</v>
      </c>
      <c r="J213">
        <v>360</v>
      </c>
      <c r="K213">
        <v>1</v>
      </c>
      <c r="L213" t="s">
        <v>26</v>
      </c>
      <c r="M213">
        <v>4119</v>
      </c>
      <c r="N213">
        <v>343.25</v>
      </c>
      <c r="O213" s="3">
        <v>968.83098931626046</v>
      </c>
      <c r="P213" s="3">
        <v>2.8225229113365198</v>
      </c>
      <c r="Q213" t="s">
        <v>395</v>
      </c>
      <c r="R213" t="s">
        <v>403</v>
      </c>
      <c r="S213" t="s">
        <v>404</v>
      </c>
      <c r="T213">
        <v>0</v>
      </c>
      <c r="U213" t="s">
        <v>416</v>
      </c>
    </row>
    <row r="214" spans="1:21" x14ac:dyDescent="0.3">
      <c r="A214" t="s">
        <v>40</v>
      </c>
      <c r="B214" t="s">
        <v>13</v>
      </c>
      <c r="C214" t="s">
        <v>16</v>
      </c>
      <c r="D214">
        <v>0</v>
      </c>
      <c r="E214" t="s">
        <v>15</v>
      </c>
      <c r="F214" t="s">
        <v>16</v>
      </c>
      <c r="G214">
        <v>1300</v>
      </c>
      <c r="H214">
        <v>3470</v>
      </c>
      <c r="I214">
        <v>100</v>
      </c>
      <c r="J214">
        <v>180</v>
      </c>
      <c r="K214">
        <v>1</v>
      </c>
      <c r="L214" t="s">
        <v>26</v>
      </c>
      <c r="M214">
        <v>4770</v>
      </c>
      <c r="N214">
        <v>397.5</v>
      </c>
      <c r="O214" s="3">
        <v>984.7395579255932</v>
      </c>
      <c r="P214" s="3">
        <v>2.4773322211964608</v>
      </c>
      <c r="Q214" t="s">
        <v>395</v>
      </c>
      <c r="R214" t="s">
        <v>403</v>
      </c>
      <c r="S214" t="s">
        <v>404</v>
      </c>
      <c r="T214">
        <v>0</v>
      </c>
      <c r="U214" t="s">
        <v>416</v>
      </c>
    </row>
    <row r="215" spans="1:21" x14ac:dyDescent="0.3">
      <c r="A215" t="s">
        <v>41</v>
      </c>
      <c r="B215" t="s">
        <v>13</v>
      </c>
      <c r="C215" t="s">
        <v>14</v>
      </c>
      <c r="D215">
        <v>1</v>
      </c>
      <c r="E215" t="s">
        <v>22</v>
      </c>
      <c r="F215" t="s">
        <v>16</v>
      </c>
      <c r="G215">
        <v>1888</v>
      </c>
      <c r="H215">
        <v>1620</v>
      </c>
      <c r="I215">
        <v>48</v>
      </c>
      <c r="J215">
        <v>360</v>
      </c>
      <c r="K215">
        <v>1</v>
      </c>
      <c r="L215" t="s">
        <v>17</v>
      </c>
      <c r="M215">
        <v>3508</v>
      </c>
      <c r="N215">
        <v>292.33333333333331</v>
      </c>
      <c r="O215" s="3">
        <v>369.07847212048011</v>
      </c>
      <c r="P215" s="3">
        <v>1.2625261304007303</v>
      </c>
      <c r="Q215" t="s">
        <v>395</v>
      </c>
      <c r="R215" t="s">
        <v>403</v>
      </c>
      <c r="S215" t="s">
        <v>406</v>
      </c>
      <c r="T215">
        <v>0</v>
      </c>
      <c r="U215" t="s">
        <v>415</v>
      </c>
    </row>
    <row r="216" spans="1:21" x14ac:dyDescent="0.3">
      <c r="A216" t="s">
        <v>42</v>
      </c>
      <c r="B216" t="s">
        <v>25</v>
      </c>
      <c r="C216" t="s">
        <v>16</v>
      </c>
      <c r="D216">
        <v>3</v>
      </c>
      <c r="E216" t="s">
        <v>22</v>
      </c>
      <c r="F216" t="s">
        <v>16</v>
      </c>
      <c r="G216">
        <v>2083</v>
      </c>
      <c r="H216">
        <v>0</v>
      </c>
      <c r="I216">
        <v>28</v>
      </c>
      <c r="J216">
        <v>180</v>
      </c>
      <c r="K216">
        <v>1</v>
      </c>
      <c r="L216" t="s">
        <v>17</v>
      </c>
      <c r="M216">
        <v>2083</v>
      </c>
      <c r="N216">
        <v>173.58333333333334</v>
      </c>
      <c r="O216" s="3">
        <v>275.72707621916612</v>
      </c>
      <c r="P216" s="3">
        <v>1.5884421097599584</v>
      </c>
      <c r="Q216" t="s">
        <v>395</v>
      </c>
      <c r="R216" t="s">
        <v>403</v>
      </c>
      <c r="S216" t="s">
        <v>406</v>
      </c>
      <c r="T216">
        <v>0</v>
      </c>
      <c r="U216" t="s">
        <v>415</v>
      </c>
    </row>
    <row r="217" spans="1:21" x14ac:dyDescent="0.3">
      <c r="A217" t="s">
        <v>43</v>
      </c>
      <c r="B217" t="s">
        <v>13</v>
      </c>
      <c r="C217" t="s">
        <v>16</v>
      </c>
      <c r="D217">
        <v>0</v>
      </c>
      <c r="E217" t="s">
        <v>15</v>
      </c>
      <c r="F217" t="s">
        <v>16</v>
      </c>
      <c r="G217">
        <v>3909</v>
      </c>
      <c r="H217">
        <v>0</v>
      </c>
      <c r="I217">
        <v>101</v>
      </c>
      <c r="J217">
        <v>360</v>
      </c>
      <c r="K217">
        <v>1</v>
      </c>
      <c r="L217" t="s">
        <v>17</v>
      </c>
      <c r="M217">
        <v>3909</v>
      </c>
      <c r="N217">
        <v>325.75</v>
      </c>
      <c r="O217" s="3">
        <v>776.60261842017701</v>
      </c>
      <c r="P217" s="3">
        <v>2.3840448761939435</v>
      </c>
      <c r="Q217" t="s">
        <v>395</v>
      </c>
      <c r="R217" t="s">
        <v>403</v>
      </c>
      <c r="S217" t="s">
        <v>404</v>
      </c>
      <c r="T217">
        <v>0</v>
      </c>
      <c r="U217" t="s">
        <v>415</v>
      </c>
    </row>
    <row r="218" spans="1:21" x14ac:dyDescent="0.3">
      <c r="A218" t="s">
        <v>44</v>
      </c>
      <c r="B218" t="s">
        <v>25</v>
      </c>
      <c r="C218" t="s">
        <v>16</v>
      </c>
      <c r="D218">
        <v>0</v>
      </c>
      <c r="E218" t="s">
        <v>22</v>
      </c>
      <c r="F218" t="s">
        <v>16</v>
      </c>
      <c r="G218">
        <v>3765</v>
      </c>
      <c r="H218">
        <v>0</v>
      </c>
      <c r="I218">
        <v>125</v>
      </c>
      <c r="J218">
        <v>360</v>
      </c>
      <c r="K218">
        <v>1</v>
      </c>
      <c r="L218" t="s">
        <v>17</v>
      </c>
      <c r="M218">
        <v>3765</v>
      </c>
      <c r="N218">
        <v>313.75</v>
      </c>
      <c r="O218" s="3">
        <v>961.14185448041712</v>
      </c>
      <c r="P218" s="3">
        <v>3.0634003330053137</v>
      </c>
      <c r="Q218" t="s">
        <v>395</v>
      </c>
      <c r="R218" t="s">
        <v>403</v>
      </c>
      <c r="S218" t="s">
        <v>404</v>
      </c>
      <c r="T218">
        <v>0</v>
      </c>
      <c r="U218" t="s">
        <v>415</v>
      </c>
    </row>
    <row r="219" spans="1:21" x14ac:dyDescent="0.3">
      <c r="A219" t="s">
        <v>49</v>
      </c>
      <c r="B219" t="s">
        <v>13</v>
      </c>
      <c r="C219" t="s">
        <v>14</v>
      </c>
      <c r="D219">
        <v>0</v>
      </c>
      <c r="E219" t="s">
        <v>15</v>
      </c>
      <c r="F219" t="s">
        <v>16</v>
      </c>
      <c r="G219">
        <v>3772</v>
      </c>
      <c r="H219">
        <v>833</v>
      </c>
      <c r="I219">
        <v>57</v>
      </c>
      <c r="J219">
        <v>360</v>
      </c>
      <c r="K219">
        <v>0</v>
      </c>
      <c r="L219" t="s">
        <v>26</v>
      </c>
      <c r="M219">
        <v>4605</v>
      </c>
      <c r="N219">
        <v>383.75</v>
      </c>
      <c r="O219" s="3">
        <v>438.28068564307017</v>
      </c>
      <c r="P219" s="3">
        <v>1.1420995065617463</v>
      </c>
      <c r="Q219" t="s">
        <v>394</v>
      </c>
      <c r="R219" t="s">
        <v>403</v>
      </c>
      <c r="S219" t="s">
        <v>406</v>
      </c>
      <c r="T219">
        <v>1</v>
      </c>
      <c r="U219" t="s">
        <v>416</v>
      </c>
    </row>
    <row r="220" spans="1:21" x14ac:dyDescent="0.3">
      <c r="A220" t="s">
        <v>51</v>
      </c>
      <c r="B220" t="s">
        <v>25</v>
      </c>
      <c r="C220" t="s">
        <v>16</v>
      </c>
      <c r="D220">
        <v>0</v>
      </c>
      <c r="E220" t="s">
        <v>22</v>
      </c>
      <c r="F220" t="s">
        <v>16</v>
      </c>
      <c r="G220">
        <v>2478</v>
      </c>
      <c r="H220">
        <v>0</v>
      </c>
      <c r="I220">
        <v>75</v>
      </c>
      <c r="J220">
        <v>360</v>
      </c>
      <c r="K220">
        <v>1</v>
      </c>
      <c r="L220" t="s">
        <v>26</v>
      </c>
      <c r="M220">
        <v>2478</v>
      </c>
      <c r="N220">
        <v>206.5</v>
      </c>
      <c r="O220" s="3">
        <v>576.68511268825023</v>
      </c>
      <c r="P220" s="3">
        <v>2.7926639839624707</v>
      </c>
      <c r="Q220" t="s">
        <v>395</v>
      </c>
      <c r="R220" t="s">
        <v>403</v>
      </c>
      <c r="S220" t="s">
        <v>406</v>
      </c>
      <c r="T220">
        <v>0</v>
      </c>
      <c r="U220" t="s">
        <v>416</v>
      </c>
    </row>
    <row r="221" spans="1:21" x14ac:dyDescent="0.3">
      <c r="A221" t="s">
        <v>53</v>
      </c>
      <c r="B221" t="s">
        <v>13</v>
      </c>
      <c r="C221" t="s">
        <v>16</v>
      </c>
      <c r="D221">
        <v>0</v>
      </c>
      <c r="E221" t="s">
        <v>15</v>
      </c>
      <c r="F221" t="s">
        <v>16</v>
      </c>
      <c r="G221">
        <v>3268</v>
      </c>
      <c r="H221">
        <v>1683</v>
      </c>
      <c r="I221">
        <v>152</v>
      </c>
      <c r="J221">
        <v>360</v>
      </c>
      <c r="K221">
        <v>1</v>
      </c>
      <c r="L221" t="s">
        <v>26</v>
      </c>
      <c r="M221">
        <v>4951</v>
      </c>
      <c r="N221">
        <v>412.58333333333331</v>
      </c>
      <c r="O221" s="3">
        <v>1168.7484950481871</v>
      </c>
      <c r="P221" s="3">
        <v>2.8327574107409101</v>
      </c>
      <c r="Q221" t="s">
        <v>395</v>
      </c>
      <c r="R221" t="s">
        <v>403</v>
      </c>
      <c r="S221" t="s">
        <v>404</v>
      </c>
      <c r="T221">
        <v>0</v>
      </c>
      <c r="U221" t="s">
        <v>416</v>
      </c>
    </row>
    <row r="222" spans="1:21" x14ac:dyDescent="0.3">
      <c r="A222" t="s">
        <v>55</v>
      </c>
      <c r="B222" t="s">
        <v>13</v>
      </c>
      <c r="C222" t="s">
        <v>14</v>
      </c>
      <c r="D222">
        <v>0</v>
      </c>
      <c r="E222" t="s">
        <v>15</v>
      </c>
      <c r="F222" t="s">
        <v>16</v>
      </c>
      <c r="G222">
        <v>2740</v>
      </c>
      <c r="H222">
        <v>1541</v>
      </c>
      <c r="I222">
        <v>101</v>
      </c>
      <c r="J222">
        <v>360</v>
      </c>
      <c r="K222">
        <v>1</v>
      </c>
      <c r="L222" t="s">
        <v>17</v>
      </c>
      <c r="M222">
        <v>4281</v>
      </c>
      <c r="N222">
        <v>356.75</v>
      </c>
      <c r="O222" s="3">
        <v>776.60261842017701</v>
      </c>
      <c r="P222" s="3">
        <v>2.176881901668331</v>
      </c>
      <c r="Q222" t="s">
        <v>395</v>
      </c>
      <c r="R222" t="s">
        <v>403</v>
      </c>
      <c r="S222" t="s">
        <v>404</v>
      </c>
      <c r="T222">
        <v>0</v>
      </c>
      <c r="U222" t="s">
        <v>415</v>
      </c>
    </row>
    <row r="223" spans="1:21" x14ac:dyDescent="0.3">
      <c r="A223" t="s">
        <v>56</v>
      </c>
      <c r="B223" t="s">
        <v>13</v>
      </c>
      <c r="C223" t="s">
        <v>16</v>
      </c>
      <c r="D223">
        <v>0</v>
      </c>
      <c r="E223" t="s">
        <v>15</v>
      </c>
      <c r="F223" t="s">
        <v>16</v>
      </c>
      <c r="G223">
        <v>3150</v>
      </c>
      <c r="H223">
        <v>0</v>
      </c>
      <c r="I223">
        <v>176</v>
      </c>
      <c r="J223">
        <v>360</v>
      </c>
      <c r="K223">
        <v>0</v>
      </c>
      <c r="L223" t="s">
        <v>26</v>
      </c>
      <c r="M223">
        <v>3150</v>
      </c>
      <c r="N223">
        <v>262.5</v>
      </c>
      <c r="O223" s="3">
        <v>1353.2877311084274</v>
      </c>
      <c r="P223" s="3">
        <v>5.1553818327940091</v>
      </c>
      <c r="Q223" t="s">
        <v>394</v>
      </c>
      <c r="R223" t="s">
        <v>403</v>
      </c>
      <c r="S223" t="s">
        <v>404</v>
      </c>
      <c r="T223">
        <v>1</v>
      </c>
      <c r="U223" t="s">
        <v>416</v>
      </c>
    </row>
    <row r="224" spans="1:21" x14ac:dyDescent="0.3">
      <c r="A224" t="s">
        <v>62</v>
      </c>
      <c r="B224" t="s">
        <v>25</v>
      </c>
      <c r="C224" t="s">
        <v>16</v>
      </c>
      <c r="D224">
        <v>0</v>
      </c>
      <c r="E224" t="s">
        <v>15</v>
      </c>
      <c r="F224" t="s">
        <v>16</v>
      </c>
      <c r="G224">
        <v>3644</v>
      </c>
      <c r="H224">
        <v>0</v>
      </c>
      <c r="I224">
        <v>110</v>
      </c>
      <c r="J224">
        <v>360</v>
      </c>
      <c r="K224">
        <v>1</v>
      </c>
      <c r="L224" t="s">
        <v>17</v>
      </c>
      <c r="M224">
        <v>3644</v>
      </c>
      <c r="N224">
        <v>303.66666666666669</v>
      </c>
      <c r="O224" s="3">
        <v>845.80483194276701</v>
      </c>
      <c r="P224" s="3">
        <v>2.7853068011287605</v>
      </c>
      <c r="Q224" t="s">
        <v>395</v>
      </c>
      <c r="R224" t="s">
        <v>403</v>
      </c>
      <c r="S224" t="s">
        <v>404</v>
      </c>
      <c r="T224">
        <v>0</v>
      </c>
      <c r="U224" t="s">
        <v>415</v>
      </c>
    </row>
    <row r="225" spans="1:21" x14ac:dyDescent="0.3">
      <c r="A225" t="s">
        <v>63</v>
      </c>
      <c r="B225" t="s">
        <v>13</v>
      </c>
      <c r="C225" t="s">
        <v>14</v>
      </c>
      <c r="D225">
        <v>0</v>
      </c>
      <c r="E225" t="s">
        <v>22</v>
      </c>
      <c r="F225" t="s">
        <v>16</v>
      </c>
      <c r="G225">
        <v>1750</v>
      </c>
      <c r="H225">
        <v>2024</v>
      </c>
      <c r="I225">
        <v>90</v>
      </c>
      <c r="J225">
        <v>360</v>
      </c>
      <c r="K225">
        <v>1</v>
      </c>
      <c r="L225" t="s">
        <v>26</v>
      </c>
      <c r="M225">
        <v>3774</v>
      </c>
      <c r="N225">
        <v>314.5</v>
      </c>
      <c r="O225" s="3">
        <v>692.02213522590023</v>
      </c>
      <c r="P225" s="3">
        <v>2.2003883473001595</v>
      </c>
      <c r="Q225" t="s">
        <v>395</v>
      </c>
      <c r="R225" t="s">
        <v>403</v>
      </c>
      <c r="S225" t="s">
        <v>406</v>
      </c>
      <c r="T225">
        <v>0</v>
      </c>
      <c r="U225" t="s">
        <v>416</v>
      </c>
    </row>
    <row r="226" spans="1:21" x14ac:dyDescent="0.3">
      <c r="A226" t="s">
        <v>65</v>
      </c>
      <c r="B226" t="s">
        <v>25</v>
      </c>
      <c r="C226" t="s">
        <v>16</v>
      </c>
      <c r="D226">
        <v>0</v>
      </c>
      <c r="E226" t="s">
        <v>15</v>
      </c>
      <c r="F226" t="s">
        <v>16</v>
      </c>
      <c r="G226">
        <v>3666</v>
      </c>
      <c r="H226">
        <v>0</v>
      </c>
      <c r="I226">
        <v>84</v>
      </c>
      <c r="J226">
        <v>360</v>
      </c>
      <c r="K226">
        <v>1</v>
      </c>
      <c r="L226" t="s">
        <v>17</v>
      </c>
      <c r="M226">
        <v>3666</v>
      </c>
      <c r="N226">
        <v>305.5</v>
      </c>
      <c r="O226" s="3">
        <v>645.88732621084023</v>
      </c>
      <c r="P226" s="3">
        <v>2.114197467138593</v>
      </c>
      <c r="Q226" t="s">
        <v>395</v>
      </c>
      <c r="R226" t="s">
        <v>403</v>
      </c>
      <c r="S226" t="s">
        <v>406</v>
      </c>
      <c r="T226">
        <v>0</v>
      </c>
      <c r="U226" t="s">
        <v>415</v>
      </c>
    </row>
    <row r="227" spans="1:21" x14ac:dyDescent="0.3">
      <c r="A227" t="s">
        <v>68</v>
      </c>
      <c r="B227" t="s">
        <v>13</v>
      </c>
      <c r="C227" t="s">
        <v>16</v>
      </c>
      <c r="D227">
        <v>0</v>
      </c>
      <c r="E227" t="s">
        <v>22</v>
      </c>
      <c r="F227" t="s">
        <v>16</v>
      </c>
      <c r="G227">
        <v>2356</v>
      </c>
      <c r="H227">
        <v>1902</v>
      </c>
      <c r="I227">
        <v>108</v>
      </c>
      <c r="J227">
        <v>360</v>
      </c>
      <c r="K227">
        <v>1</v>
      </c>
      <c r="L227" t="s">
        <v>26</v>
      </c>
      <c r="M227">
        <v>4258</v>
      </c>
      <c r="N227">
        <v>354.83333333333331</v>
      </c>
      <c r="O227" s="3">
        <v>830.42656227108023</v>
      </c>
      <c r="P227" s="3">
        <v>2.3403284986502966</v>
      </c>
      <c r="Q227" t="s">
        <v>395</v>
      </c>
      <c r="R227" t="s">
        <v>403</v>
      </c>
      <c r="S227" t="s">
        <v>404</v>
      </c>
      <c r="T227">
        <v>0</v>
      </c>
      <c r="U227" t="s">
        <v>416</v>
      </c>
    </row>
    <row r="228" spans="1:21" x14ac:dyDescent="0.3">
      <c r="A228" t="s">
        <v>71</v>
      </c>
      <c r="B228" t="s">
        <v>13</v>
      </c>
      <c r="C228" t="s">
        <v>14</v>
      </c>
      <c r="D228">
        <v>1</v>
      </c>
      <c r="E228" t="s">
        <v>15</v>
      </c>
      <c r="F228" t="s">
        <v>16</v>
      </c>
      <c r="G228">
        <v>2419</v>
      </c>
      <c r="H228">
        <v>1707</v>
      </c>
      <c r="I228">
        <v>124</v>
      </c>
      <c r="J228">
        <v>360</v>
      </c>
      <c r="K228">
        <v>1</v>
      </c>
      <c r="L228" t="s">
        <v>17</v>
      </c>
      <c r="M228">
        <v>4126</v>
      </c>
      <c r="N228">
        <v>343.83333333333331</v>
      </c>
      <c r="O228" s="3">
        <v>953.45271964457379</v>
      </c>
      <c r="P228" s="3">
        <v>2.7730083945067587</v>
      </c>
      <c r="Q228" t="s">
        <v>395</v>
      </c>
      <c r="R228" t="s">
        <v>403</v>
      </c>
      <c r="S228" t="s">
        <v>404</v>
      </c>
      <c r="T228">
        <v>0</v>
      </c>
      <c r="U228" t="s">
        <v>415</v>
      </c>
    </row>
    <row r="229" spans="1:21" x14ac:dyDescent="0.3">
      <c r="A229" t="s">
        <v>72</v>
      </c>
      <c r="B229" t="s">
        <v>13</v>
      </c>
      <c r="C229" t="s">
        <v>14</v>
      </c>
      <c r="D229">
        <v>3</v>
      </c>
      <c r="E229" t="s">
        <v>22</v>
      </c>
      <c r="F229" t="s">
        <v>16</v>
      </c>
      <c r="G229">
        <v>3500</v>
      </c>
      <c r="H229">
        <v>833</v>
      </c>
      <c r="I229">
        <v>120</v>
      </c>
      <c r="J229">
        <v>360</v>
      </c>
      <c r="K229">
        <v>1</v>
      </c>
      <c r="L229" t="s">
        <v>26</v>
      </c>
      <c r="M229">
        <v>4333</v>
      </c>
      <c r="N229">
        <v>361.08333333333331</v>
      </c>
      <c r="O229" s="3">
        <v>922.69618030120034</v>
      </c>
      <c r="P229" s="3">
        <v>2.5553552189278572</v>
      </c>
      <c r="Q229" t="s">
        <v>395</v>
      </c>
      <c r="R229" t="s">
        <v>403</v>
      </c>
      <c r="S229" t="s">
        <v>404</v>
      </c>
      <c r="T229">
        <v>0</v>
      </c>
      <c r="U229" t="s">
        <v>416</v>
      </c>
    </row>
    <row r="230" spans="1:21" x14ac:dyDescent="0.3">
      <c r="A230" t="s">
        <v>76</v>
      </c>
      <c r="B230" t="s">
        <v>13</v>
      </c>
      <c r="C230" t="s">
        <v>16</v>
      </c>
      <c r="D230">
        <v>0</v>
      </c>
      <c r="E230" t="s">
        <v>15</v>
      </c>
      <c r="F230" t="s">
        <v>16</v>
      </c>
      <c r="G230">
        <v>2750</v>
      </c>
      <c r="H230">
        <v>0</v>
      </c>
      <c r="I230">
        <v>130</v>
      </c>
      <c r="J230">
        <v>360</v>
      </c>
      <c r="K230">
        <v>0</v>
      </c>
      <c r="L230" t="s">
        <v>17</v>
      </c>
      <c r="M230">
        <v>2750</v>
      </c>
      <c r="N230">
        <v>229.16666666666666</v>
      </c>
      <c r="O230" s="3">
        <v>999.58752865963379</v>
      </c>
      <c r="P230" s="3">
        <v>4.3618364886965839</v>
      </c>
      <c r="Q230" t="s">
        <v>394</v>
      </c>
      <c r="R230" t="s">
        <v>403</v>
      </c>
      <c r="S230" t="s">
        <v>404</v>
      </c>
      <c r="T230">
        <v>1</v>
      </c>
      <c r="U230" t="s">
        <v>415</v>
      </c>
    </row>
    <row r="231" spans="1:21" x14ac:dyDescent="0.3">
      <c r="A231" t="s">
        <v>77</v>
      </c>
      <c r="B231" t="s">
        <v>25</v>
      </c>
      <c r="C231" t="s">
        <v>16</v>
      </c>
      <c r="D231">
        <v>0</v>
      </c>
      <c r="E231" t="s">
        <v>22</v>
      </c>
      <c r="F231" t="s">
        <v>16</v>
      </c>
      <c r="G231">
        <v>4402</v>
      </c>
      <c r="H231">
        <v>0</v>
      </c>
      <c r="I231">
        <v>130</v>
      </c>
      <c r="J231">
        <v>360</v>
      </c>
      <c r="K231">
        <v>1</v>
      </c>
      <c r="L231" t="s">
        <v>28</v>
      </c>
      <c r="M231">
        <v>4402</v>
      </c>
      <c r="N231">
        <v>366.83333333333331</v>
      </c>
      <c r="O231" s="3">
        <v>999.58752865963379</v>
      </c>
      <c r="P231" s="3">
        <v>2.7249092103397561</v>
      </c>
      <c r="Q231" t="s">
        <v>395</v>
      </c>
      <c r="R231" t="s">
        <v>403</v>
      </c>
      <c r="S231" t="s">
        <v>404</v>
      </c>
      <c r="T231">
        <v>0</v>
      </c>
      <c r="U231" t="s">
        <v>417</v>
      </c>
    </row>
    <row r="232" spans="1:21" x14ac:dyDescent="0.3">
      <c r="A232" t="s">
        <v>80</v>
      </c>
      <c r="B232" t="s">
        <v>13</v>
      </c>
      <c r="C232" t="s">
        <v>14</v>
      </c>
      <c r="D232">
        <v>3</v>
      </c>
      <c r="E232" t="s">
        <v>15</v>
      </c>
      <c r="F232" t="s">
        <v>16</v>
      </c>
      <c r="G232">
        <v>4720</v>
      </c>
      <c r="H232">
        <v>0</v>
      </c>
      <c r="I232">
        <v>90</v>
      </c>
      <c r="J232">
        <v>180</v>
      </c>
      <c r="K232">
        <v>1</v>
      </c>
      <c r="L232" t="s">
        <v>26</v>
      </c>
      <c r="M232">
        <v>4720</v>
      </c>
      <c r="N232">
        <v>393.33333333333331</v>
      </c>
      <c r="O232" s="3">
        <v>886.26560213303389</v>
      </c>
      <c r="P232" s="3">
        <v>2.2532176325416118</v>
      </c>
      <c r="Q232" t="s">
        <v>395</v>
      </c>
      <c r="R232" t="s">
        <v>403</v>
      </c>
      <c r="S232" t="s">
        <v>406</v>
      </c>
      <c r="T232">
        <v>0</v>
      </c>
      <c r="U232" t="s">
        <v>416</v>
      </c>
    </row>
    <row r="233" spans="1:21" x14ac:dyDescent="0.3">
      <c r="A233" t="s">
        <v>81</v>
      </c>
      <c r="B233" t="s">
        <v>13</v>
      </c>
      <c r="C233" t="s">
        <v>14</v>
      </c>
      <c r="D233">
        <v>0</v>
      </c>
      <c r="E233" t="s">
        <v>22</v>
      </c>
      <c r="F233" t="s">
        <v>16</v>
      </c>
      <c r="G233">
        <v>2415</v>
      </c>
      <c r="H233">
        <v>1721</v>
      </c>
      <c r="I233">
        <v>110</v>
      </c>
      <c r="J233">
        <v>360</v>
      </c>
      <c r="K233">
        <v>1</v>
      </c>
      <c r="L233" t="s">
        <v>26</v>
      </c>
      <c r="M233">
        <v>4136</v>
      </c>
      <c r="N233">
        <v>344.66666666666669</v>
      </c>
      <c r="O233" s="3">
        <v>845.80483194276701</v>
      </c>
      <c r="P233" s="3">
        <v>2.4539792029287244</v>
      </c>
      <c r="Q233" t="s">
        <v>395</v>
      </c>
      <c r="R233" t="s">
        <v>403</v>
      </c>
      <c r="S233" t="s">
        <v>404</v>
      </c>
      <c r="T233">
        <v>0</v>
      </c>
      <c r="U233" t="s">
        <v>416</v>
      </c>
    </row>
    <row r="234" spans="1:21" x14ac:dyDescent="0.3">
      <c r="A234" t="s">
        <v>83</v>
      </c>
      <c r="B234" t="s">
        <v>25</v>
      </c>
      <c r="C234" t="s">
        <v>16</v>
      </c>
      <c r="D234">
        <v>2</v>
      </c>
      <c r="E234" t="s">
        <v>15</v>
      </c>
      <c r="F234" t="s">
        <v>16</v>
      </c>
      <c r="G234">
        <v>4968</v>
      </c>
      <c r="H234">
        <v>0</v>
      </c>
      <c r="I234">
        <v>189</v>
      </c>
      <c r="J234">
        <v>360</v>
      </c>
      <c r="K234">
        <v>1</v>
      </c>
      <c r="L234" t="s">
        <v>26</v>
      </c>
      <c r="M234">
        <v>4968</v>
      </c>
      <c r="N234">
        <v>414</v>
      </c>
      <c r="O234" s="3">
        <v>1453.2464839743907</v>
      </c>
      <c r="P234" s="3">
        <v>3.5102572076676104</v>
      </c>
      <c r="Q234" t="s">
        <v>395</v>
      </c>
      <c r="R234" t="s">
        <v>403</v>
      </c>
      <c r="S234" t="s">
        <v>404</v>
      </c>
      <c r="T234">
        <v>0</v>
      </c>
      <c r="U234" t="s">
        <v>416</v>
      </c>
    </row>
    <row r="235" spans="1:21" x14ac:dyDescent="0.3">
      <c r="A235" t="s">
        <v>84</v>
      </c>
      <c r="B235" t="s">
        <v>25</v>
      </c>
      <c r="C235" t="s">
        <v>16</v>
      </c>
      <c r="D235">
        <v>0</v>
      </c>
      <c r="E235" t="s">
        <v>15</v>
      </c>
      <c r="F235" t="s">
        <v>16</v>
      </c>
      <c r="G235">
        <v>2101</v>
      </c>
      <c r="H235">
        <v>1500</v>
      </c>
      <c r="I235">
        <v>108</v>
      </c>
      <c r="J235">
        <v>360</v>
      </c>
      <c r="K235">
        <v>0</v>
      </c>
      <c r="L235" t="s">
        <v>28</v>
      </c>
      <c r="M235">
        <v>3601</v>
      </c>
      <c r="N235">
        <v>300.08333333333331</v>
      </c>
      <c r="O235" s="3">
        <v>830.42656227108023</v>
      </c>
      <c r="P235" s="3">
        <v>2.7673198409477822</v>
      </c>
      <c r="Q235" t="s">
        <v>394</v>
      </c>
      <c r="R235" t="s">
        <v>403</v>
      </c>
      <c r="S235" t="s">
        <v>404</v>
      </c>
      <c r="T235">
        <v>1</v>
      </c>
      <c r="U235" t="s">
        <v>417</v>
      </c>
    </row>
    <row r="236" spans="1:21" x14ac:dyDescent="0.3">
      <c r="A236" t="s">
        <v>85</v>
      </c>
      <c r="B236" t="s">
        <v>13</v>
      </c>
      <c r="C236" t="s">
        <v>14</v>
      </c>
      <c r="D236">
        <v>3</v>
      </c>
      <c r="E236" t="s">
        <v>22</v>
      </c>
      <c r="F236" t="s">
        <v>16</v>
      </c>
      <c r="G236">
        <v>4490</v>
      </c>
      <c r="H236">
        <v>0</v>
      </c>
      <c r="I236">
        <v>125</v>
      </c>
      <c r="J236">
        <v>360</v>
      </c>
      <c r="K236">
        <v>1</v>
      </c>
      <c r="L236" t="s">
        <v>17</v>
      </c>
      <c r="M236">
        <v>4490</v>
      </c>
      <c r="N236">
        <v>374.16666666666669</v>
      </c>
      <c r="O236" s="3">
        <v>961.14185448041712</v>
      </c>
      <c r="P236" s="3">
        <v>2.5687532859164821</v>
      </c>
      <c r="Q236" t="s">
        <v>395</v>
      </c>
      <c r="R236" t="s">
        <v>403</v>
      </c>
      <c r="S236" t="s">
        <v>404</v>
      </c>
      <c r="T236">
        <v>0</v>
      </c>
      <c r="U236" t="s">
        <v>415</v>
      </c>
    </row>
    <row r="237" spans="1:21" x14ac:dyDescent="0.3">
      <c r="A237" t="s">
        <v>87</v>
      </c>
      <c r="B237" t="s">
        <v>13</v>
      </c>
      <c r="C237" t="s">
        <v>14</v>
      </c>
      <c r="D237">
        <v>0</v>
      </c>
      <c r="E237" t="s">
        <v>22</v>
      </c>
      <c r="F237" t="s">
        <v>16</v>
      </c>
      <c r="G237">
        <v>4700</v>
      </c>
      <c r="H237">
        <v>0</v>
      </c>
      <c r="I237">
        <v>135</v>
      </c>
      <c r="J237">
        <v>360</v>
      </c>
      <c r="K237">
        <v>0</v>
      </c>
      <c r="L237" t="s">
        <v>26</v>
      </c>
      <c r="M237">
        <v>4700</v>
      </c>
      <c r="N237">
        <v>391.66666666666669</v>
      </c>
      <c r="O237" s="3">
        <v>1038.0332028388502</v>
      </c>
      <c r="P237" s="3">
        <v>2.6502975391630219</v>
      </c>
      <c r="Q237" t="s">
        <v>394</v>
      </c>
      <c r="R237" t="s">
        <v>403</v>
      </c>
      <c r="S237" t="s">
        <v>404</v>
      </c>
      <c r="T237">
        <v>1</v>
      </c>
      <c r="U237" t="s">
        <v>416</v>
      </c>
    </row>
    <row r="238" spans="1:21" x14ac:dyDescent="0.3">
      <c r="A238" t="s">
        <v>88</v>
      </c>
      <c r="B238" t="s">
        <v>13</v>
      </c>
      <c r="C238" t="s">
        <v>14</v>
      </c>
      <c r="D238">
        <v>0</v>
      </c>
      <c r="E238" t="s">
        <v>15</v>
      </c>
      <c r="F238" t="s">
        <v>16</v>
      </c>
      <c r="G238">
        <v>3445</v>
      </c>
      <c r="H238">
        <v>0</v>
      </c>
      <c r="I238">
        <v>130</v>
      </c>
      <c r="J238">
        <v>360</v>
      </c>
      <c r="K238">
        <v>0</v>
      </c>
      <c r="L238" t="s">
        <v>26</v>
      </c>
      <c r="M238">
        <v>3445</v>
      </c>
      <c r="N238">
        <v>287.08333333333331</v>
      </c>
      <c r="O238" s="3">
        <v>999.58752865963379</v>
      </c>
      <c r="P238" s="3">
        <v>3.4818723784950962</v>
      </c>
      <c r="Q238" t="s">
        <v>394</v>
      </c>
      <c r="R238" t="s">
        <v>403</v>
      </c>
      <c r="S238" t="s">
        <v>404</v>
      </c>
      <c r="T238">
        <v>1</v>
      </c>
      <c r="U238" t="s">
        <v>416</v>
      </c>
    </row>
    <row r="239" spans="1:21" x14ac:dyDescent="0.3">
      <c r="A239" t="s">
        <v>91</v>
      </c>
      <c r="B239" t="s">
        <v>25</v>
      </c>
      <c r="C239" t="s">
        <v>16</v>
      </c>
      <c r="D239">
        <v>0</v>
      </c>
      <c r="E239" t="s">
        <v>15</v>
      </c>
      <c r="F239" t="s">
        <v>16</v>
      </c>
      <c r="G239">
        <v>3250</v>
      </c>
      <c r="H239">
        <v>0</v>
      </c>
      <c r="I239">
        <v>95</v>
      </c>
      <c r="J239">
        <v>360</v>
      </c>
      <c r="K239">
        <v>1</v>
      </c>
      <c r="L239" t="s">
        <v>26</v>
      </c>
      <c r="M239">
        <v>3250</v>
      </c>
      <c r="N239">
        <v>270.83333333333331</v>
      </c>
      <c r="O239" s="3">
        <v>730.46780940511701</v>
      </c>
      <c r="P239" s="3">
        <v>2.6971119116496629</v>
      </c>
      <c r="Q239" t="s">
        <v>395</v>
      </c>
      <c r="R239" t="s">
        <v>403</v>
      </c>
      <c r="S239" t="s">
        <v>406</v>
      </c>
      <c r="T239">
        <v>0</v>
      </c>
      <c r="U239" t="s">
        <v>416</v>
      </c>
    </row>
    <row r="240" spans="1:21" x14ac:dyDescent="0.3">
      <c r="A240" t="s">
        <v>92</v>
      </c>
      <c r="B240" t="s">
        <v>13</v>
      </c>
      <c r="C240" t="s">
        <v>16</v>
      </c>
      <c r="D240">
        <v>0</v>
      </c>
      <c r="E240" t="s">
        <v>15</v>
      </c>
      <c r="F240" t="s">
        <v>16</v>
      </c>
      <c r="G240">
        <v>4463</v>
      </c>
      <c r="H240">
        <v>0</v>
      </c>
      <c r="I240">
        <v>65</v>
      </c>
      <c r="J240">
        <v>360</v>
      </c>
      <c r="K240">
        <v>1</v>
      </c>
      <c r="L240" t="s">
        <v>26</v>
      </c>
      <c r="M240">
        <v>4463</v>
      </c>
      <c r="N240">
        <v>371.91666666666669</v>
      </c>
      <c r="O240" s="3">
        <v>499.7937643298169</v>
      </c>
      <c r="P240" s="3">
        <v>1.3438326623252974</v>
      </c>
      <c r="Q240" t="s">
        <v>395</v>
      </c>
      <c r="R240" t="s">
        <v>403</v>
      </c>
      <c r="S240" t="s">
        <v>406</v>
      </c>
      <c r="T240">
        <v>0</v>
      </c>
      <c r="U240" t="s">
        <v>416</v>
      </c>
    </row>
    <row r="241" spans="1:21" x14ac:dyDescent="0.3">
      <c r="A241" t="s">
        <v>101</v>
      </c>
      <c r="B241" t="s">
        <v>13</v>
      </c>
      <c r="C241" t="s">
        <v>14</v>
      </c>
      <c r="D241">
        <v>3</v>
      </c>
      <c r="E241" t="s">
        <v>15</v>
      </c>
      <c r="F241" t="s">
        <v>16</v>
      </c>
      <c r="G241">
        <v>3829</v>
      </c>
      <c r="H241">
        <v>1103</v>
      </c>
      <c r="I241">
        <v>163</v>
      </c>
      <c r="J241">
        <v>360</v>
      </c>
      <c r="K241">
        <v>0</v>
      </c>
      <c r="L241" t="s">
        <v>17</v>
      </c>
      <c r="M241">
        <v>4932</v>
      </c>
      <c r="N241">
        <v>411</v>
      </c>
      <c r="O241" s="3">
        <v>1253.3289782424638</v>
      </c>
      <c r="P241" s="3">
        <v>3.0494622341665787</v>
      </c>
      <c r="Q241" t="s">
        <v>394</v>
      </c>
      <c r="R241" t="s">
        <v>403</v>
      </c>
      <c r="S241" t="s">
        <v>404</v>
      </c>
      <c r="T241">
        <v>1</v>
      </c>
      <c r="U241" t="s">
        <v>415</v>
      </c>
    </row>
    <row r="242" spans="1:21" x14ac:dyDescent="0.3">
      <c r="A242" t="s">
        <v>103</v>
      </c>
      <c r="B242" t="s">
        <v>13</v>
      </c>
      <c r="C242" t="s">
        <v>14</v>
      </c>
      <c r="D242">
        <v>2</v>
      </c>
      <c r="E242" t="s">
        <v>22</v>
      </c>
      <c r="F242" t="s">
        <v>16</v>
      </c>
      <c r="G242">
        <v>4136</v>
      </c>
      <c r="H242">
        <v>0</v>
      </c>
      <c r="I242">
        <v>149</v>
      </c>
      <c r="J242">
        <v>480</v>
      </c>
      <c r="K242">
        <v>0</v>
      </c>
      <c r="L242" t="s">
        <v>28</v>
      </c>
      <c r="M242">
        <v>4136</v>
      </c>
      <c r="N242">
        <v>344.66666666666669</v>
      </c>
      <c r="O242" s="3">
        <v>1092.3101617502396</v>
      </c>
      <c r="P242" s="3">
        <v>3.1691784190045635</v>
      </c>
      <c r="Q242" t="s">
        <v>394</v>
      </c>
      <c r="R242" t="s">
        <v>403</v>
      </c>
      <c r="S242" t="s">
        <v>404</v>
      </c>
      <c r="T242">
        <v>1</v>
      </c>
      <c r="U242" t="s">
        <v>417</v>
      </c>
    </row>
    <row r="243" spans="1:21" x14ac:dyDescent="0.3">
      <c r="A243" t="s">
        <v>105</v>
      </c>
      <c r="B243" t="s">
        <v>13</v>
      </c>
      <c r="C243" t="s">
        <v>14</v>
      </c>
      <c r="D243">
        <v>0</v>
      </c>
      <c r="E243" t="s">
        <v>15</v>
      </c>
      <c r="F243" t="s">
        <v>16</v>
      </c>
      <c r="G243">
        <v>4456</v>
      </c>
      <c r="H243">
        <v>0</v>
      </c>
      <c r="I243">
        <v>131</v>
      </c>
      <c r="J243">
        <v>180</v>
      </c>
      <c r="K243">
        <v>0</v>
      </c>
      <c r="L243" t="s">
        <v>26</v>
      </c>
      <c r="M243">
        <v>4456</v>
      </c>
      <c r="N243">
        <v>371.33333333333331</v>
      </c>
      <c r="O243" s="3">
        <v>1290.0088208825271</v>
      </c>
      <c r="P243" s="3">
        <v>3.4739914386423529</v>
      </c>
      <c r="Q243" t="s">
        <v>394</v>
      </c>
      <c r="R243" t="s">
        <v>403</v>
      </c>
      <c r="S243" t="s">
        <v>404</v>
      </c>
      <c r="T243">
        <v>1</v>
      </c>
      <c r="U243" t="s">
        <v>416</v>
      </c>
    </row>
    <row r="244" spans="1:21" x14ac:dyDescent="0.3">
      <c r="A244" t="s">
        <v>108</v>
      </c>
      <c r="B244" t="s">
        <v>13</v>
      </c>
      <c r="C244" t="s">
        <v>16</v>
      </c>
      <c r="D244">
        <v>0</v>
      </c>
      <c r="E244" t="s">
        <v>15</v>
      </c>
      <c r="F244" t="s">
        <v>16</v>
      </c>
      <c r="G244">
        <v>3066</v>
      </c>
      <c r="H244">
        <v>0</v>
      </c>
      <c r="I244">
        <v>95</v>
      </c>
      <c r="J244">
        <v>360</v>
      </c>
      <c r="K244">
        <v>1</v>
      </c>
      <c r="L244" t="s">
        <v>26</v>
      </c>
      <c r="M244">
        <v>3066</v>
      </c>
      <c r="N244">
        <v>255.5</v>
      </c>
      <c r="O244" s="3">
        <v>730.46780940511701</v>
      </c>
      <c r="P244" s="3">
        <v>2.8589738137186576</v>
      </c>
      <c r="Q244" t="s">
        <v>395</v>
      </c>
      <c r="R244" t="s">
        <v>403</v>
      </c>
      <c r="S244" t="s">
        <v>406</v>
      </c>
      <c r="T244">
        <v>0</v>
      </c>
      <c r="U244" t="s">
        <v>416</v>
      </c>
    </row>
    <row r="245" spans="1:21" x14ac:dyDescent="0.3">
      <c r="A245" t="s">
        <v>121</v>
      </c>
      <c r="B245" t="s">
        <v>13</v>
      </c>
      <c r="C245" t="s">
        <v>16</v>
      </c>
      <c r="D245">
        <v>0</v>
      </c>
      <c r="E245" t="s">
        <v>15</v>
      </c>
      <c r="F245" t="s">
        <v>16</v>
      </c>
      <c r="G245">
        <v>4452</v>
      </c>
      <c r="H245">
        <v>0</v>
      </c>
      <c r="I245">
        <v>131</v>
      </c>
      <c r="J245">
        <v>360</v>
      </c>
      <c r="K245">
        <v>1</v>
      </c>
      <c r="L245" t="s">
        <v>28</v>
      </c>
      <c r="M245">
        <v>4452</v>
      </c>
      <c r="N245">
        <v>371</v>
      </c>
      <c r="O245" s="3">
        <v>1007.2766634954771</v>
      </c>
      <c r="P245" s="3">
        <v>2.7150314379931997</v>
      </c>
      <c r="Q245" t="s">
        <v>395</v>
      </c>
      <c r="R245" t="s">
        <v>403</v>
      </c>
      <c r="S245" t="s">
        <v>404</v>
      </c>
      <c r="T245">
        <v>0</v>
      </c>
      <c r="U245" t="s">
        <v>417</v>
      </c>
    </row>
    <row r="246" spans="1:21" x14ac:dyDescent="0.3">
      <c r="A246" t="s">
        <v>122</v>
      </c>
      <c r="B246" t="s">
        <v>25</v>
      </c>
      <c r="C246" t="s">
        <v>14</v>
      </c>
      <c r="D246">
        <v>0</v>
      </c>
      <c r="E246" t="s">
        <v>15</v>
      </c>
      <c r="F246" t="s">
        <v>16</v>
      </c>
      <c r="G246">
        <v>2262</v>
      </c>
      <c r="H246">
        <v>0</v>
      </c>
      <c r="I246">
        <v>125</v>
      </c>
      <c r="J246">
        <v>480</v>
      </c>
      <c r="K246">
        <v>0</v>
      </c>
      <c r="L246" t="s">
        <v>26</v>
      </c>
      <c r="M246">
        <v>2262</v>
      </c>
      <c r="N246">
        <v>188.5</v>
      </c>
      <c r="O246" s="3">
        <v>916.3675853609393</v>
      </c>
      <c r="P246" s="3">
        <v>4.8613665005885371</v>
      </c>
      <c r="Q246" t="s">
        <v>394</v>
      </c>
      <c r="R246" t="s">
        <v>403</v>
      </c>
      <c r="S246" t="s">
        <v>404</v>
      </c>
      <c r="T246">
        <v>1</v>
      </c>
      <c r="U246" t="s">
        <v>416</v>
      </c>
    </row>
    <row r="247" spans="1:21" x14ac:dyDescent="0.3">
      <c r="A247" t="s">
        <v>123</v>
      </c>
      <c r="B247" t="s">
        <v>13</v>
      </c>
      <c r="C247" t="s">
        <v>14</v>
      </c>
      <c r="D247">
        <v>1</v>
      </c>
      <c r="E247" t="s">
        <v>15</v>
      </c>
      <c r="F247" t="s">
        <v>16</v>
      </c>
      <c r="G247">
        <v>3901</v>
      </c>
      <c r="H247">
        <v>0</v>
      </c>
      <c r="I247">
        <v>116</v>
      </c>
      <c r="J247">
        <v>360</v>
      </c>
      <c r="K247">
        <v>1</v>
      </c>
      <c r="L247" t="s">
        <v>17</v>
      </c>
      <c r="M247">
        <v>3901</v>
      </c>
      <c r="N247">
        <v>325.08333333333331</v>
      </c>
      <c r="O247" s="3">
        <v>891.93964095782701</v>
      </c>
      <c r="P247" s="3">
        <v>2.7437261449612729</v>
      </c>
      <c r="Q247" t="s">
        <v>395</v>
      </c>
      <c r="R247" t="s">
        <v>403</v>
      </c>
      <c r="S247" t="s">
        <v>404</v>
      </c>
      <c r="T247">
        <v>0</v>
      </c>
      <c r="U247" t="s">
        <v>415</v>
      </c>
    </row>
    <row r="248" spans="1:21" x14ac:dyDescent="0.3">
      <c r="A248" t="s">
        <v>124</v>
      </c>
      <c r="B248" t="s">
        <v>13</v>
      </c>
      <c r="C248" t="s">
        <v>14</v>
      </c>
      <c r="D248">
        <v>2</v>
      </c>
      <c r="E248" t="s">
        <v>22</v>
      </c>
      <c r="F248" t="s">
        <v>16</v>
      </c>
      <c r="G248">
        <v>2687</v>
      </c>
      <c r="H248">
        <v>0</v>
      </c>
      <c r="I248">
        <v>50</v>
      </c>
      <c r="J248">
        <v>180</v>
      </c>
      <c r="K248">
        <v>1</v>
      </c>
      <c r="L248" t="s">
        <v>28</v>
      </c>
      <c r="M248">
        <v>2687</v>
      </c>
      <c r="N248">
        <v>223.91666666666666</v>
      </c>
      <c r="O248" s="3">
        <v>492.3697789627966</v>
      </c>
      <c r="P248" s="3">
        <v>2.1988974125618013</v>
      </c>
      <c r="Q248" t="s">
        <v>395</v>
      </c>
      <c r="R248" t="s">
        <v>403</v>
      </c>
      <c r="S248" t="s">
        <v>406</v>
      </c>
      <c r="T248">
        <v>0</v>
      </c>
      <c r="U248" t="s">
        <v>417</v>
      </c>
    </row>
    <row r="249" spans="1:21" x14ac:dyDescent="0.3">
      <c r="A249" t="s">
        <v>125</v>
      </c>
      <c r="B249" t="s">
        <v>13</v>
      </c>
      <c r="C249" t="s">
        <v>16</v>
      </c>
      <c r="D249">
        <v>0</v>
      </c>
      <c r="E249" t="s">
        <v>15</v>
      </c>
      <c r="F249" t="s">
        <v>16</v>
      </c>
      <c r="G249">
        <v>2243</v>
      </c>
      <c r="H249">
        <v>2233</v>
      </c>
      <c r="I249">
        <v>107</v>
      </c>
      <c r="J249">
        <v>360</v>
      </c>
      <c r="K249">
        <v>0</v>
      </c>
      <c r="L249" t="s">
        <v>26</v>
      </c>
      <c r="M249">
        <v>4476</v>
      </c>
      <c r="N249">
        <v>373</v>
      </c>
      <c r="O249" s="3">
        <v>822.73742743523701</v>
      </c>
      <c r="P249" s="3">
        <v>2.2057303684590805</v>
      </c>
      <c r="Q249" t="s">
        <v>394</v>
      </c>
      <c r="R249" t="s">
        <v>403</v>
      </c>
      <c r="S249" t="s">
        <v>404</v>
      </c>
      <c r="T249">
        <v>1</v>
      </c>
      <c r="U249" t="s">
        <v>416</v>
      </c>
    </row>
    <row r="250" spans="1:21" x14ac:dyDescent="0.3">
      <c r="A250" t="s">
        <v>126</v>
      </c>
      <c r="B250" t="s">
        <v>25</v>
      </c>
      <c r="C250" t="s">
        <v>14</v>
      </c>
      <c r="D250">
        <v>0</v>
      </c>
      <c r="E250" t="s">
        <v>15</v>
      </c>
      <c r="F250" t="s">
        <v>16</v>
      </c>
      <c r="G250">
        <v>3417</v>
      </c>
      <c r="H250">
        <v>1287</v>
      </c>
      <c r="I250">
        <v>200</v>
      </c>
      <c r="J250">
        <v>360</v>
      </c>
      <c r="K250">
        <v>1</v>
      </c>
      <c r="L250" t="s">
        <v>26</v>
      </c>
      <c r="M250">
        <v>4704</v>
      </c>
      <c r="N250">
        <v>392</v>
      </c>
      <c r="O250" s="3">
        <v>1537.8269671686674</v>
      </c>
      <c r="P250" s="3">
        <v>3.9230279774710901</v>
      </c>
      <c r="Q250" t="s">
        <v>395</v>
      </c>
      <c r="R250" t="s">
        <v>403</v>
      </c>
      <c r="S250" t="s">
        <v>405</v>
      </c>
      <c r="T250">
        <v>0</v>
      </c>
      <c r="U250" t="s">
        <v>416</v>
      </c>
    </row>
    <row r="251" spans="1:21" x14ac:dyDescent="0.3">
      <c r="A251" t="s">
        <v>127</v>
      </c>
      <c r="B251" t="s">
        <v>13</v>
      </c>
      <c r="C251" t="s">
        <v>16</v>
      </c>
      <c r="D251">
        <v>0</v>
      </c>
      <c r="E251" t="s">
        <v>15</v>
      </c>
      <c r="F251" t="s">
        <v>16</v>
      </c>
      <c r="G251">
        <v>1596</v>
      </c>
      <c r="H251">
        <v>1760</v>
      </c>
      <c r="I251">
        <v>119</v>
      </c>
      <c r="J251">
        <v>360</v>
      </c>
      <c r="K251">
        <v>0</v>
      </c>
      <c r="L251" t="s">
        <v>17</v>
      </c>
      <c r="M251">
        <v>3356</v>
      </c>
      <c r="N251">
        <v>279.66666666666669</v>
      </c>
      <c r="O251" s="3">
        <v>915.00704546535701</v>
      </c>
      <c r="P251" s="3">
        <v>3.2717772781836363</v>
      </c>
      <c r="Q251" t="s">
        <v>394</v>
      </c>
      <c r="R251" t="s">
        <v>403</v>
      </c>
      <c r="S251" t="s">
        <v>404</v>
      </c>
      <c r="T251">
        <v>1</v>
      </c>
      <c r="U251" t="s">
        <v>415</v>
      </c>
    </row>
    <row r="252" spans="1:21" x14ac:dyDescent="0.3">
      <c r="A252" t="s">
        <v>128</v>
      </c>
      <c r="B252" t="s">
        <v>13</v>
      </c>
      <c r="C252" t="s">
        <v>14</v>
      </c>
      <c r="D252">
        <v>3</v>
      </c>
      <c r="E252" t="s">
        <v>15</v>
      </c>
      <c r="F252" t="s">
        <v>16</v>
      </c>
      <c r="G252">
        <v>4513</v>
      </c>
      <c r="H252">
        <v>0</v>
      </c>
      <c r="I252">
        <v>120</v>
      </c>
      <c r="J252">
        <v>360</v>
      </c>
      <c r="K252">
        <v>1</v>
      </c>
      <c r="L252" t="s">
        <v>28</v>
      </c>
      <c r="M252">
        <v>4513</v>
      </c>
      <c r="N252">
        <v>376.08333333333331</v>
      </c>
      <c r="O252" s="3">
        <v>922.69618030120034</v>
      </c>
      <c r="P252" s="3">
        <v>2.4534354450729903</v>
      </c>
      <c r="Q252" t="s">
        <v>395</v>
      </c>
      <c r="R252" t="s">
        <v>403</v>
      </c>
      <c r="S252" t="s">
        <v>404</v>
      </c>
      <c r="T252">
        <v>0</v>
      </c>
      <c r="U252" t="s">
        <v>417</v>
      </c>
    </row>
    <row r="253" spans="1:21" x14ac:dyDescent="0.3">
      <c r="A253" t="s">
        <v>129</v>
      </c>
      <c r="B253" t="s">
        <v>13</v>
      </c>
      <c r="C253" t="s">
        <v>14</v>
      </c>
      <c r="D253">
        <v>0</v>
      </c>
      <c r="E253" t="s">
        <v>15</v>
      </c>
      <c r="F253" t="s">
        <v>16</v>
      </c>
      <c r="G253">
        <v>4500</v>
      </c>
      <c r="H253">
        <v>0</v>
      </c>
      <c r="I253">
        <v>140</v>
      </c>
      <c r="J253">
        <v>360</v>
      </c>
      <c r="K253">
        <v>1</v>
      </c>
      <c r="L253" t="s">
        <v>26</v>
      </c>
      <c r="M253">
        <v>4500</v>
      </c>
      <c r="N253">
        <v>375</v>
      </c>
      <c r="O253" s="3">
        <v>1076.4788770180671</v>
      </c>
      <c r="P253" s="3">
        <v>2.8706103387148456</v>
      </c>
      <c r="Q253" t="s">
        <v>395</v>
      </c>
      <c r="R253" t="s">
        <v>403</v>
      </c>
      <c r="S253" t="s">
        <v>404</v>
      </c>
      <c r="T253">
        <v>0</v>
      </c>
      <c r="U253" t="s">
        <v>416</v>
      </c>
    </row>
    <row r="254" spans="1:21" x14ac:dyDescent="0.3">
      <c r="A254" t="s">
        <v>131</v>
      </c>
      <c r="B254" t="s">
        <v>25</v>
      </c>
      <c r="C254" t="s">
        <v>16</v>
      </c>
      <c r="D254">
        <v>0</v>
      </c>
      <c r="E254" t="s">
        <v>15</v>
      </c>
      <c r="F254" t="s">
        <v>14</v>
      </c>
      <c r="G254">
        <v>4742</v>
      </c>
      <c r="H254">
        <v>0</v>
      </c>
      <c r="I254">
        <v>108</v>
      </c>
      <c r="J254">
        <v>360</v>
      </c>
      <c r="K254">
        <v>1</v>
      </c>
      <c r="L254" t="s">
        <v>26</v>
      </c>
      <c r="M254">
        <v>4742</v>
      </c>
      <c r="N254">
        <v>395.16666666666669</v>
      </c>
      <c r="O254" s="3">
        <v>830.42656227108023</v>
      </c>
      <c r="P254" s="3">
        <v>2.101459035692316</v>
      </c>
      <c r="Q254" t="s">
        <v>395</v>
      </c>
      <c r="R254" t="s">
        <v>403</v>
      </c>
      <c r="S254" t="s">
        <v>404</v>
      </c>
      <c r="T254">
        <v>0</v>
      </c>
      <c r="U254" t="s">
        <v>416</v>
      </c>
    </row>
    <row r="255" spans="1:21" x14ac:dyDescent="0.3">
      <c r="A255" t="s">
        <v>132</v>
      </c>
      <c r="B255" t="s">
        <v>13</v>
      </c>
      <c r="C255" t="s">
        <v>14</v>
      </c>
      <c r="D255">
        <v>0</v>
      </c>
      <c r="E255" t="s">
        <v>15</v>
      </c>
      <c r="F255" t="s">
        <v>16</v>
      </c>
      <c r="G255">
        <v>4082</v>
      </c>
      <c r="H255">
        <v>0</v>
      </c>
      <c r="I255">
        <v>93</v>
      </c>
      <c r="J255">
        <v>360</v>
      </c>
      <c r="K255">
        <v>1</v>
      </c>
      <c r="L255" t="s">
        <v>26</v>
      </c>
      <c r="M255">
        <v>4082</v>
      </c>
      <c r="N255">
        <v>340.16666666666669</v>
      </c>
      <c r="O255" s="3">
        <v>715.08953973343023</v>
      </c>
      <c r="P255" s="3">
        <v>2.1021740511516813</v>
      </c>
      <c r="Q255" t="s">
        <v>395</v>
      </c>
      <c r="R255" t="s">
        <v>403</v>
      </c>
      <c r="S255" t="s">
        <v>406</v>
      </c>
      <c r="T255">
        <v>0</v>
      </c>
      <c r="U255" t="s">
        <v>416</v>
      </c>
    </row>
    <row r="256" spans="1:21" x14ac:dyDescent="0.3">
      <c r="A256" t="s">
        <v>133</v>
      </c>
      <c r="B256" t="s">
        <v>25</v>
      </c>
      <c r="C256" t="s">
        <v>16</v>
      </c>
      <c r="D256">
        <v>0</v>
      </c>
      <c r="E256" t="s">
        <v>15</v>
      </c>
      <c r="F256" t="s">
        <v>16</v>
      </c>
      <c r="G256">
        <v>3417</v>
      </c>
      <c r="H256">
        <v>0</v>
      </c>
      <c r="I256">
        <v>102</v>
      </c>
      <c r="J256">
        <v>360</v>
      </c>
      <c r="K256">
        <v>1</v>
      </c>
      <c r="L256" t="s">
        <v>17</v>
      </c>
      <c r="M256">
        <v>3417</v>
      </c>
      <c r="N256">
        <v>284.75</v>
      </c>
      <c r="O256" s="3">
        <v>784.29175325602023</v>
      </c>
      <c r="P256" s="3">
        <v>2.7543169561229859</v>
      </c>
      <c r="Q256" t="s">
        <v>395</v>
      </c>
      <c r="R256" t="s">
        <v>403</v>
      </c>
      <c r="S256" t="s">
        <v>404</v>
      </c>
      <c r="T256">
        <v>0</v>
      </c>
      <c r="U256" t="s">
        <v>415</v>
      </c>
    </row>
    <row r="257" spans="1:21" x14ac:dyDescent="0.3">
      <c r="A257" t="s">
        <v>137</v>
      </c>
      <c r="B257" t="s">
        <v>25</v>
      </c>
      <c r="C257" t="s">
        <v>16</v>
      </c>
      <c r="D257">
        <v>0</v>
      </c>
      <c r="E257" t="s">
        <v>22</v>
      </c>
      <c r="F257" t="s">
        <v>16</v>
      </c>
      <c r="G257">
        <v>0</v>
      </c>
      <c r="H257">
        <v>1760</v>
      </c>
      <c r="I257">
        <v>180</v>
      </c>
      <c r="J257">
        <v>360</v>
      </c>
      <c r="K257">
        <v>1</v>
      </c>
      <c r="L257" t="s">
        <v>26</v>
      </c>
      <c r="M257">
        <v>1760</v>
      </c>
      <c r="N257">
        <v>146.66666666666666</v>
      </c>
      <c r="O257" s="3">
        <v>1384.0442704518005</v>
      </c>
      <c r="P257" s="3">
        <v>9.4366654803531862</v>
      </c>
      <c r="Q257" t="s">
        <v>395</v>
      </c>
      <c r="R257" t="s">
        <v>403</v>
      </c>
      <c r="S257" t="s">
        <v>404</v>
      </c>
      <c r="T257">
        <v>0</v>
      </c>
      <c r="U257" t="s">
        <v>416</v>
      </c>
    </row>
    <row r="258" spans="1:21" x14ac:dyDescent="0.3">
      <c r="A258" t="s">
        <v>138</v>
      </c>
      <c r="B258" t="s">
        <v>13</v>
      </c>
      <c r="C258" t="s">
        <v>14</v>
      </c>
      <c r="D258">
        <v>1</v>
      </c>
      <c r="E258" t="s">
        <v>15</v>
      </c>
      <c r="F258" t="s">
        <v>16</v>
      </c>
      <c r="G258">
        <v>1516</v>
      </c>
      <c r="H258">
        <v>2900</v>
      </c>
      <c r="I258">
        <v>80</v>
      </c>
      <c r="J258">
        <v>360</v>
      </c>
      <c r="K258">
        <v>0</v>
      </c>
      <c r="L258" t="s">
        <v>28</v>
      </c>
      <c r="M258">
        <v>4416</v>
      </c>
      <c r="N258">
        <v>368</v>
      </c>
      <c r="O258" s="3">
        <v>615.1307868674669</v>
      </c>
      <c r="P258" s="3">
        <v>1.6715510512702905</v>
      </c>
      <c r="Q258" t="s">
        <v>394</v>
      </c>
      <c r="R258" t="s">
        <v>403</v>
      </c>
      <c r="S258" t="s">
        <v>406</v>
      </c>
      <c r="T258">
        <v>1</v>
      </c>
      <c r="U258" t="s">
        <v>417</v>
      </c>
    </row>
    <row r="259" spans="1:21" x14ac:dyDescent="0.3">
      <c r="A259" t="s">
        <v>139</v>
      </c>
      <c r="B259" t="s">
        <v>25</v>
      </c>
      <c r="C259" t="s">
        <v>16</v>
      </c>
      <c r="D259">
        <v>0</v>
      </c>
      <c r="E259" t="s">
        <v>15</v>
      </c>
      <c r="F259" t="s">
        <v>16</v>
      </c>
      <c r="G259">
        <v>1762</v>
      </c>
      <c r="H259">
        <v>2666</v>
      </c>
      <c r="I259">
        <v>104</v>
      </c>
      <c r="J259">
        <v>360</v>
      </c>
      <c r="K259">
        <v>0</v>
      </c>
      <c r="L259" t="s">
        <v>17</v>
      </c>
      <c r="M259">
        <v>4428</v>
      </c>
      <c r="N259">
        <v>369</v>
      </c>
      <c r="O259" s="3">
        <v>799.67002292770701</v>
      </c>
      <c r="P259" s="3">
        <v>2.1671274334084201</v>
      </c>
      <c r="Q259" t="s">
        <v>394</v>
      </c>
      <c r="R259" t="s">
        <v>403</v>
      </c>
      <c r="S259" t="s">
        <v>404</v>
      </c>
      <c r="T259">
        <v>1</v>
      </c>
      <c r="U259" t="s">
        <v>415</v>
      </c>
    </row>
    <row r="260" spans="1:21" x14ac:dyDescent="0.3">
      <c r="A260" t="s">
        <v>140</v>
      </c>
      <c r="B260" t="s">
        <v>13</v>
      </c>
      <c r="C260" t="s">
        <v>14</v>
      </c>
      <c r="D260">
        <v>2</v>
      </c>
      <c r="E260" t="s">
        <v>15</v>
      </c>
      <c r="F260" t="s">
        <v>16</v>
      </c>
      <c r="G260">
        <v>724</v>
      </c>
      <c r="H260">
        <v>3510</v>
      </c>
      <c r="I260">
        <v>213</v>
      </c>
      <c r="J260">
        <v>360</v>
      </c>
      <c r="K260">
        <v>0</v>
      </c>
      <c r="L260" t="s">
        <v>28</v>
      </c>
      <c r="M260">
        <v>4234</v>
      </c>
      <c r="N260">
        <v>352.83333333333331</v>
      </c>
      <c r="O260" s="3">
        <v>1637.7857200346307</v>
      </c>
      <c r="P260" s="3">
        <v>4.6418112046328694</v>
      </c>
      <c r="Q260" t="s">
        <v>394</v>
      </c>
      <c r="R260" t="s">
        <v>403</v>
      </c>
      <c r="S260" t="s">
        <v>405</v>
      </c>
      <c r="T260">
        <v>1</v>
      </c>
      <c r="U260" t="s">
        <v>417</v>
      </c>
    </row>
    <row r="261" spans="1:21" x14ac:dyDescent="0.3">
      <c r="A261" t="s">
        <v>141</v>
      </c>
      <c r="B261" t="s">
        <v>13</v>
      </c>
      <c r="C261" t="s">
        <v>16</v>
      </c>
      <c r="D261">
        <v>0</v>
      </c>
      <c r="E261" t="s">
        <v>15</v>
      </c>
      <c r="F261" t="s">
        <v>16</v>
      </c>
      <c r="G261">
        <v>3125</v>
      </c>
      <c r="H261">
        <v>0</v>
      </c>
      <c r="I261">
        <v>65</v>
      </c>
      <c r="J261">
        <v>360</v>
      </c>
      <c r="K261">
        <v>1</v>
      </c>
      <c r="L261" t="s">
        <v>17</v>
      </c>
      <c r="M261">
        <v>3125</v>
      </c>
      <c r="N261">
        <v>260.41666666666669</v>
      </c>
      <c r="O261" s="3">
        <v>499.7937643298169</v>
      </c>
      <c r="P261" s="3">
        <v>1.9192080550264967</v>
      </c>
      <c r="Q261" t="s">
        <v>395</v>
      </c>
      <c r="R261" t="s">
        <v>403</v>
      </c>
      <c r="S261" t="s">
        <v>406</v>
      </c>
      <c r="T261">
        <v>0</v>
      </c>
      <c r="U261" t="s">
        <v>415</v>
      </c>
    </row>
    <row r="262" spans="1:21" x14ac:dyDescent="0.3">
      <c r="A262" t="s">
        <v>143</v>
      </c>
      <c r="B262" t="s">
        <v>13</v>
      </c>
      <c r="C262" t="s">
        <v>14</v>
      </c>
      <c r="D262">
        <v>3</v>
      </c>
      <c r="E262" t="s">
        <v>15</v>
      </c>
      <c r="F262" t="s">
        <v>16</v>
      </c>
      <c r="G262">
        <v>3350</v>
      </c>
      <c r="H262">
        <v>1560</v>
      </c>
      <c r="I262">
        <v>135</v>
      </c>
      <c r="J262">
        <v>360</v>
      </c>
      <c r="K262">
        <v>1</v>
      </c>
      <c r="L262" t="s">
        <v>17</v>
      </c>
      <c r="M262">
        <v>4910</v>
      </c>
      <c r="N262">
        <v>409.16666666666669</v>
      </c>
      <c r="O262" s="3">
        <v>1038.0332028388502</v>
      </c>
      <c r="P262" s="3">
        <v>2.5369446912558455</v>
      </c>
      <c r="Q262" t="s">
        <v>395</v>
      </c>
      <c r="R262" t="s">
        <v>403</v>
      </c>
      <c r="S262" t="s">
        <v>404</v>
      </c>
      <c r="T262">
        <v>0</v>
      </c>
      <c r="U262" t="s">
        <v>415</v>
      </c>
    </row>
    <row r="263" spans="1:21" x14ac:dyDescent="0.3">
      <c r="A263" t="s">
        <v>146</v>
      </c>
      <c r="B263" t="s">
        <v>13</v>
      </c>
      <c r="C263" t="s">
        <v>16</v>
      </c>
      <c r="D263">
        <v>0</v>
      </c>
      <c r="E263" t="s">
        <v>15</v>
      </c>
      <c r="F263" t="s">
        <v>16</v>
      </c>
      <c r="G263">
        <v>4667</v>
      </c>
      <c r="H263">
        <v>0</v>
      </c>
      <c r="I263">
        <v>120</v>
      </c>
      <c r="J263">
        <v>360</v>
      </c>
      <c r="K263">
        <v>1</v>
      </c>
      <c r="L263" t="s">
        <v>26</v>
      </c>
      <c r="M263">
        <v>4667</v>
      </c>
      <c r="N263">
        <v>388.91666666666669</v>
      </c>
      <c r="O263" s="3">
        <v>922.69618030120034</v>
      </c>
      <c r="P263" s="3">
        <v>2.3724778580703672</v>
      </c>
      <c r="Q263" t="s">
        <v>395</v>
      </c>
      <c r="R263" t="s">
        <v>403</v>
      </c>
      <c r="S263" t="s">
        <v>404</v>
      </c>
      <c r="T263">
        <v>0</v>
      </c>
      <c r="U263" t="s">
        <v>416</v>
      </c>
    </row>
    <row r="264" spans="1:21" x14ac:dyDescent="0.3">
      <c r="A264" t="s">
        <v>149</v>
      </c>
      <c r="B264" t="s">
        <v>13</v>
      </c>
      <c r="C264" t="s">
        <v>16</v>
      </c>
      <c r="D264">
        <v>0</v>
      </c>
      <c r="E264" t="s">
        <v>15</v>
      </c>
      <c r="F264" t="s">
        <v>16</v>
      </c>
      <c r="G264">
        <v>3073</v>
      </c>
      <c r="H264">
        <v>0</v>
      </c>
      <c r="I264">
        <v>70</v>
      </c>
      <c r="J264">
        <v>180</v>
      </c>
      <c r="K264">
        <v>1</v>
      </c>
      <c r="L264" t="s">
        <v>17</v>
      </c>
      <c r="M264">
        <v>3073</v>
      </c>
      <c r="N264">
        <v>256.08333333333331</v>
      </c>
      <c r="O264" s="3">
        <v>689.31769054791528</v>
      </c>
      <c r="P264" s="3">
        <v>2.6917710011633531</v>
      </c>
      <c r="Q264" t="s">
        <v>395</v>
      </c>
      <c r="R264" t="s">
        <v>403</v>
      </c>
      <c r="S264" t="s">
        <v>406</v>
      </c>
      <c r="T264">
        <v>0</v>
      </c>
      <c r="U264" t="s">
        <v>415</v>
      </c>
    </row>
    <row r="265" spans="1:21" x14ac:dyDescent="0.3">
      <c r="A265" t="s">
        <v>151</v>
      </c>
      <c r="B265" t="s">
        <v>13</v>
      </c>
      <c r="C265" t="s">
        <v>14</v>
      </c>
      <c r="D265">
        <v>0</v>
      </c>
      <c r="E265" t="s">
        <v>15</v>
      </c>
      <c r="F265" t="s">
        <v>16</v>
      </c>
      <c r="G265">
        <v>3333</v>
      </c>
      <c r="H265">
        <v>1270</v>
      </c>
      <c r="I265">
        <v>124</v>
      </c>
      <c r="J265">
        <v>360</v>
      </c>
      <c r="K265">
        <v>1</v>
      </c>
      <c r="L265" t="s">
        <v>17</v>
      </c>
      <c r="M265">
        <v>4603</v>
      </c>
      <c r="N265">
        <v>383.58333333333331</v>
      </c>
      <c r="O265" s="3">
        <v>953.45271964457379</v>
      </c>
      <c r="P265" s="3">
        <v>2.485646890231346</v>
      </c>
      <c r="Q265" t="s">
        <v>395</v>
      </c>
      <c r="R265" t="s">
        <v>403</v>
      </c>
      <c r="S265" t="s">
        <v>404</v>
      </c>
      <c r="T265">
        <v>0</v>
      </c>
      <c r="U265" t="s">
        <v>415</v>
      </c>
    </row>
    <row r="266" spans="1:21" x14ac:dyDescent="0.3">
      <c r="A266" t="s">
        <v>152</v>
      </c>
      <c r="B266" t="s">
        <v>13</v>
      </c>
      <c r="C266" t="s">
        <v>16</v>
      </c>
      <c r="D266">
        <v>0</v>
      </c>
      <c r="E266" t="s">
        <v>15</v>
      </c>
      <c r="F266" t="s">
        <v>16</v>
      </c>
      <c r="G266">
        <v>3391</v>
      </c>
      <c r="H266">
        <v>0</v>
      </c>
      <c r="I266">
        <v>132</v>
      </c>
      <c r="J266">
        <v>360</v>
      </c>
      <c r="K266">
        <v>1</v>
      </c>
      <c r="L266" t="s">
        <v>28</v>
      </c>
      <c r="M266">
        <v>3391</v>
      </c>
      <c r="N266">
        <v>282.58333333333331</v>
      </c>
      <c r="O266" s="3">
        <v>1014.9657983313205</v>
      </c>
      <c r="P266" s="3">
        <v>3.5917397758701997</v>
      </c>
      <c r="Q266" t="s">
        <v>395</v>
      </c>
      <c r="R266" t="s">
        <v>403</v>
      </c>
      <c r="S266" t="s">
        <v>404</v>
      </c>
      <c r="T266">
        <v>0</v>
      </c>
      <c r="U266" t="s">
        <v>417</v>
      </c>
    </row>
    <row r="267" spans="1:21" x14ac:dyDescent="0.3">
      <c r="A267" t="s">
        <v>153</v>
      </c>
      <c r="B267" t="s">
        <v>13</v>
      </c>
      <c r="C267" t="s">
        <v>14</v>
      </c>
      <c r="D267">
        <v>1</v>
      </c>
      <c r="E267" t="s">
        <v>15</v>
      </c>
      <c r="F267" t="s">
        <v>14</v>
      </c>
      <c r="G267">
        <v>3343</v>
      </c>
      <c r="H267">
        <v>1517</v>
      </c>
      <c r="I267">
        <v>105</v>
      </c>
      <c r="J267">
        <v>360</v>
      </c>
      <c r="K267">
        <v>1</v>
      </c>
      <c r="L267" t="s">
        <v>28</v>
      </c>
      <c r="M267">
        <v>4860</v>
      </c>
      <c r="N267">
        <v>405</v>
      </c>
      <c r="O267" s="3">
        <v>807.35915776355023</v>
      </c>
      <c r="P267" s="3">
        <v>1.9934794018853093</v>
      </c>
      <c r="Q267" t="s">
        <v>395</v>
      </c>
      <c r="R267" t="s">
        <v>403</v>
      </c>
      <c r="S267" t="s">
        <v>404</v>
      </c>
      <c r="T267">
        <v>0</v>
      </c>
      <c r="U267" t="s">
        <v>417</v>
      </c>
    </row>
    <row r="268" spans="1:21" x14ac:dyDescent="0.3">
      <c r="A268" t="s">
        <v>154</v>
      </c>
      <c r="B268" t="s">
        <v>25</v>
      </c>
      <c r="C268" t="s">
        <v>16</v>
      </c>
      <c r="D268">
        <v>1</v>
      </c>
      <c r="E268" t="s">
        <v>15</v>
      </c>
      <c r="F268" t="s">
        <v>16</v>
      </c>
      <c r="G268">
        <v>3620</v>
      </c>
      <c r="H268">
        <v>0</v>
      </c>
      <c r="I268">
        <v>90</v>
      </c>
      <c r="J268">
        <v>360</v>
      </c>
      <c r="K268">
        <v>1</v>
      </c>
      <c r="L268" t="s">
        <v>17</v>
      </c>
      <c r="M268">
        <v>3620</v>
      </c>
      <c r="N268">
        <v>301.66666666666669</v>
      </c>
      <c r="O268" s="3">
        <v>692.02213522590023</v>
      </c>
      <c r="P268" s="3">
        <v>2.29399602837315</v>
      </c>
      <c r="Q268" t="s">
        <v>395</v>
      </c>
      <c r="R268" t="s">
        <v>403</v>
      </c>
      <c r="S268" t="s">
        <v>406</v>
      </c>
      <c r="T268">
        <v>0</v>
      </c>
      <c r="U268" t="s">
        <v>415</v>
      </c>
    </row>
    <row r="269" spans="1:21" x14ac:dyDescent="0.3">
      <c r="A269" t="s">
        <v>155</v>
      </c>
      <c r="B269" t="s">
        <v>13</v>
      </c>
      <c r="C269" t="s">
        <v>16</v>
      </c>
      <c r="D269">
        <v>0</v>
      </c>
      <c r="E269" t="s">
        <v>15</v>
      </c>
      <c r="F269" t="s">
        <v>16</v>
      </c>
      <c r="G269">
        <v>4000</v>
      </c>
      <c r="H269">
        <v>0</v>
      </c>
      <c r="I269">
        <v>83</v>
      </c>
      <c r="J269">
        <v>84</v>
      </c>
      <c r="K269">
        <v>1</v>
      </c>
      <c r="L269" t="s">
        <v>17</v>
      </c>
      <c r="M269">
        <v>4000</v>
      </c>
      <c r="N269">
        <v>333.33333333333331</v>
      </c>
      <c r="O269" s="3">
        <v>1314.4282912826777</v>
      </c>
      <c r="P269" s="3">
        <v>3.9432848738480333</v>
      </c>
      <c r="Q269" t="s">
        <v>395</v>
      </c>
      <c r="R269" t="s">
        <v>403</v>
      </c>
      <c r="S269" t="s">
        <v>406</v>
      </c>
      <c r="T269">
        <v>0</v>
      </c>
      <c r="U269" t="s">
        <v>415</v>
      </c>
    </row>
    <row r="270" spans="1:21" x14ac:dyDescent="0.3">
      <c r="A270" t="s">
        <v>156</v>
      </c>
      <c r="B270" t="s">
        <v>13</v>
      </c>
      <c r="C270" t="s">
        <v>14</v>
      </c>
      <c r="D270">
        <v>0</v>
      </c>
      <c r="E270" t="s">
        <v>15</v>
      </c>
      <c r="F270" t="s">
        <v>16</v>
      </c>
      <c r="G270">
        <v>4258</v>
      </c>
      <c r="H270">
        <v>0</v>
      </c>
      <c r="I270">
        <v>125</v>
      </c>
      <c r="J270">
        <v>360</v>
      </c>
      <c r="K270">
        <v>1</v>
      </c>
      <c r="L270" t="s">
        <v>17</v>
      </c>
      <c r="M270">
        <v>4258</v>
      </c>
      <c r="N270">
        <v>354.83333333333331</v>
      </c>
      <c r="O270" s="3">
        <v>961.14185448041712</v>
      </c>
      <c r="P270" s="3">
        <v>2.7087135401045104</v>
      </c>
      <c r="Q270" t="s">
        <v>395</v>
      </c>
      <c r="R270" t="s">
        <v>403</v>
      </c>
      <c r="S270" t="s">
        <v>404</v>
      </c>
      <c r="T270">
        <v>0</v>
      </c>
      <c r="U270" t="s">
        <v>415</v>
      </c>
    </row>
    <row r="271" spans="1:21" x14ac:dyDescent="0.3">
      <c r="A271" t="s">
        <v>157</v>
      </c>
      <c r="B271" t="s">
        <v>13</v>
      </c>
      <c r="C271" t="s">
        <v>14</v>
      </c>
      <c r="D271">
        <v>2</v>
      </c>
      <c r="E271" t="s">
        <v>15</v>
      </c>
      <c r="F271" t="s">
        <v>16</v>
      </c>
      <c r="G271">
        <v>4500</v>
      </c>
      <c r="H271">
        <v>0</v>
      </c>
      <c r="I271">
        <v>147</v>
      </c>
      <c r="J271">
        <v>360</v>
      </c>
      <c r="K271">
        <v>1</v>
      </c>
      <c r="L271" t="s">
        <v>28</v>
      </c>
      <c r="M271">
        <v>4500</v>
      </c>
      <c r="N271">
        <v>375</v>
      </c>
      <c r="O271" s="3">
        <v>1130.3028208689702</v>
      </c>
      <c r="P271" s="3">
        <v>3.0141408556505871</v>
      </c>
      <c r="Q271" t="s">
        <v>395</v>
      </c>
      <c r="R271" t="s">
        <v>403</v>
      </c>
      <c r="S271" t="s">
        <v>404</v>
      </c>
      <c r="T271">
        <v>0</v>
      </c>
      <c r="U271" t="s">
        <v>417</v>
      </c>
    </row>
    <row r="272" spans="1:21" x14ac:dyDescent="0.3">
      <c r="A272" t="s">
        <v>158</v>
      </c>
      <c r="B272" t="s">
        <v>13</v>
      </c>
      <c r="C272" t="s">
        <v>14</v>
      </c>
      <c r="D272">
        <v>1</v>
      </c>
      <c r="E272" t="s">
        <v>15</v>
      </c>
      <c r="F272" t="s">
        <v>16</v>
      </c>
      <c r="G272">
        <v>2014</v>
      </c>
      <c r="H272">
        <v>2925</v>
      </c>
      <c r="I272">
        <v>120</v>
      </c>
      <c r="J272">
        <v>360</v>
      </c>
      <c r="K272">
        <v>1</v>
      </c>
      <c r="L272" t="s">
        <v>28</v>
      </c>
      <c r="M272">
        <v>4939</v>
      </c>
      <c r="N272">
        <v>411.58333333333331</v>
      </c>
      <c r="O272" s="3">
        <v>922.69618030120034</v>
      </c>
      <c r="P272" s="3">
        <v>2.2418210495271116</v>
      </c>
      <c r="Q272" t="s">
        <v>395</v>
      </c>
      <c r="R272" t="s">
        <v>403</v>
      </c>
      <c r="S272" t="s">
        <v>404</v>
      </c>
      <c r="T272">
        <v>0</v>
      </c>
      <c r="U272" t="s">
        <v>417</v>
      </c>
    </row>
    <row r="273" spans="1:21" x14ac:dyDescent="0.3">
      <c r="A273" t="s">
        <v>159</v>
      </c>
      <c r="B273" t="s">
        <v>13</v>
      </c>
      <c r="C273" t="s">
        <v>16</v>
      </c>
      <c r="D273">
        <v>0</v>
      </c>
      <c r="E273" t="s">
        <v>15</v>
      </c>
      <c r="F273" t="s">
        <v>16</v>
      </c>
      <c r="G273">
        <v>3333</v>
      </c>
      <c r="H273">
        <v>1250</v>
      </c>
      <c r="I273">
        <v>110</v>
      </c>
      <c r="J273">
        <v>360</v>
      </c>
      <c r="K273">
        <v>1</v>
      </c>
      <c r="L273" t="s">
        <v>26</v>
      </c>
      <c r="M273">
        <v>4583</v>
      </c>
      <c r="N273">
        <v>381.91666666666669</v>
      </c>
      <c r="O273" s="3">
        <v>845.80483194276701</v>
      </c>
      <c r="P273" s="3">
        <v>2.2146318968608343</v>
      </c>
      <c r="Q273" t="s">
        <v>395</v>
      </c>
      <c r="R273" t="s">
        <v>403</v>
      </c>
      <c r="S273" t="s">
        <v>404</v>
      </c>
      <c r="T273">
        <v>0</v>
      </c>
      <c r="U273" t="s">
        <v>416</v>
      </c>
    </row>
    <row r="274" spans="1:21" x14ac:dyDescent="0.3">
      <c r="A274" t="s">
        <v>160</v>
      </c>
      <c r="B274" t="s">
        <v>25</v>
      </c>
      <c r="C274" t="s">
        <v>16</v>
      </c>
      <c r="D274">
        <v>3</v>
      </c>
      <c r="E274" t="s">
        <v>15</v>
      </c>
      <c r="F274" t="s">
        <v>16</v>
      </c>
      <c r="G274">
        <v>4083</v>
      </c>
      <c r="H274">
        <v>0</v>
      </c>
      <c r="I274">
        <v>103</v>
      </c>
      <c r="J274">
        <v>360</v>
      </c>
      <c r="K274">
        <v>0</v>
      </c>
      <c r="L274" t="s">
        <v>26</v>
      </c>
      <c r="M274">
        <v>4083</v>
      </c>
      <c r="N274">
        <v>340.25</v>
      </c>
      <c r="O274" s="3">
        <v>791.98088809186368</v>
      </c>
      <c r="P274" s="3">
        <v>2.3276440502332512</v>
      </c>
      <c r="Q274" t="s">
        <v>394</v>
      </c>
      <c r="R274" t="s">
        <v>403</v>
      </c>
      <c r="S274" t="s">
        <v>404</v>
      </c>
      <c r="T274">
        <v>1</v>
      </c>
      <c r="U274" t="s">
        <v>416</v>
      </c>
    </row>
    <row r="275" spans="1:21" x14ac:dyDescent="0.3">
      <c r="A275" t="s">
        <v>161</v>
      </c>
      <c r="B275" t="s">
        <v>13</v>
      </c>
      <c r="C275" t="s">
        <v>16</v>
      </c>
      <c r="D275">
        <v>0</v>
      </c>
      <c r="E275" t="s">
        <v>15</v>
      </c>
      <c r="F275" t="s">
        <v>16</v>
      </c>
      <c r="G275">
        <v>4727</v>
      </c>
      <c r="H275">
        <v>0</v>
      </c>
      <c r="I275">
        <v>150</v>
      </c>
      <c r="J275">
        <v>360</v>
      </c>
      <c r="K275">
        <v>0</v>
      </c>
      <c r="L275" t="s">
        <v>28</v>
      </c>
      <c r="M275">
        <v>4727</v>
      </c>
      <c r="N275">
        <v>393.91666666666669</v>
      </c>
      <c r="O275" s="3">
        <v>1153.3702253765005</v>
      </c>
      <c r="P275" s="3">
        <v>2.9279548771986472</v>
      </c>
      <c r="Q275" t="s">
        <v>394</v>
      </c>
      <c r="R275" t="s">
        <v>403</v>
      </c>
      <c r="S275" t="s">
        <v>404</v>
      </c>
      <c r="T275">
        <v>1</v>
      </c>
      <c r="U275" t="s">
        <v>417</v>
      </c>
    </row>
    <row r="276" spans="1:21" x14ac:dyDescent="0.3">
      <c r="A276" t="s">
        <v>167</v>
      </c>
      <c r="B276" t="s">
        <v>13</v>
      </c>
      <c r="C276" t="s">
        <v>16</v>
      </c>
      <c r="D276">
        <v>0</v>
      </c>
      <c r="E276" t="s">
        <v>22</v>
      </c>
      <c r="F276" t="s">
        <v>16</v>
      </c>
      <c r="G276">
        <v>3276</v>
      </c>
      <c r="H276">
        <v>0</v>
      </c>
      <c r="I276">
        <v>90</v>
      </c>
      <c r="J276">
        <v>360</v>
      </c>
      <c r="K276">
        <v>1</v>
      </c>
      <c r="L276" t="s">
        <v>26</v>
      </c>
      <c r="M276">
        <v>3276</v>
      </c>
      <c r="N276">
        <v>273</v>
      </c>
      <c r="O276" s="3">
        <v>692.02213522590023</v>
      </c>
      <c r="P276" s="3">
        <v>2.5348796162120886</v>
      </c>
      <c r="Q276" t="s">
        <v>395</v>
      </c>
      <c r="R276" t="s">
        <v>403</v>
      </c>
      <c r="S276" t="s">
        <v>406</v>
      </c>
      <c r="T276">
        <v>0</v>
      </c>
      <c r="U276" t="s">
        <v>416</v>
      </c>
    </row>
    <row r="277" spans="1:21" x14ac:dyDescent="0.3">
      <c r="A277" t="s">
        <v>172</v>
      </c>
      <c r="B277" t="s">
        <v>13</v>
      </c>
      <c r="C277" t="s">
        <v>14</v>
      </c>
      <c r="D277">
        <v>0</v>
      </c>
      <c r="E277" t="s">
        <v>15</v>
      </c>
      <c r="F277" t="s">
        <v>16</v>
      </c>
      <c r="G277">
        <v>2783</v>
      </c>
      <c r="H277">
        <v>1456</v>
      </c>
      <c r="I277">
        <v>113</v>
      </c>
      <c r="J277">
        <v>360</v>
      </c>
      <c r="K277">
        <v>1</v>
      </c>
      <c r="L277" t="s">
        <v>17</v>
      </c>
      <c r="M277">
        <v>4239</v>
      </c>
      <c r="N277">
        <v>353.25</v>
      </c>
      <c r="O277" s="3">
        <v>868.87223645029701</v>
      </c>
      <c r="P277" s="3">
        <v>2.4596524740277341</v>
      </c>
      <c r="Q277" t="s">
        <v>395</v>
      </c>
      <c r="R277" t="s">
        <v>403</v>
      </c>
      <c r="S277" t="s">
        <v>404</v>
      </c>
      <c r="T277">
        <v>0</v>
      </c>
      <c r="U277" t="s">
        <v>415</v>
      </c>
    </row>
    <row r="278" spans="1:21" x14ac:dyDescent="0.3">
      <c r="A278" t="s">
        <v>174</v>
      </c>
      <c r="B278" t="s">
        <v>13</v>
      </c>
      <c r="C278" t="s">
        <v>14</v>
      </c>
      <c r="D278">
        <v>1</v>
      </c>
      <c r="E278" t="s">
        <v>22</v>
      </c>
      <c r="F278" t="s">
        <v>16</v>
      </c>
      <c r="G278">
        <v>2463</v>
      </c>
      <c r="H278">
        <v>2360</v>
      </c>
      <c r="I278">
        <v>117</v>
      </c>
      <c r="J278">
        <v>360</v>
      </c>
      <c r="K278">
        <v>0</v>
      </c>
      <c r="L278" t="s">
        <v>17</v>
      </c>
      <c r="M278">
        <v>4823</v>
      </c>
      <c r="N278">
        <v>401.91666666666669</v>
      </c>
      <c r="O278" s="3">
        <v>899.62877579367034</v>
      </c>
      <c r="P278" s="3">
        <v>2.2383465290325613</v>
      </c>
      <c r="Q278" t="s">
        <v>394</v>
      </c>
      <c r="R278" t="s">
        <v>403</v>
      </c>
      <c r="S278" t="s">
        <v>404</v>
      </c>
      <c r="T278">
        <v>1</v>
      </c>
      <c r="U278" t="s">
        <v>415</v>
      </c>
    </row>
    <row r="279" spans="1:21" x14ac:dyDescent="0.3">
      <c r="A279" t="s">
        <v>175</v>
      </c>
      <c r="B279" t="s">
        <v>13</v>
      </c>
      <c r="C279" t="s">
        <v>14</v>
      </c>
      <c r="D279">
        <v>2</v>
      </c>
      <c r="E279" t="s">
        <v>15</v>
      </c>
      <c r="F279" t="s">
        <v>16</v>
      </c>
      <c r="G279">
        <v>4855</v>
      </c>
      <c r="H279">
        <v>0</v>
      </c>
      <c r="I279">
        <v>72</v>
      </c>
      <c r="J279">
        <v>360</v>
      </c>
      <c r="K279">
        <v>1</v>
      </c>
      <c r="L279" t="s">
        <v>28</v>
      </c>
      <c r="M279">
        <v>4855</v>
      </c>
      <c r="N279">
        <v>404.58333333333331</v>
      </c>
      <c r="O279" s="3">
        <v>553.61770818072023</v>
      </c>
      <c r="P279" s="3">
        <v>1.3683650871614095</v>
      </c>
      <c r="Q279" t="s">
        <v>395</v>
      </c>
      <c r="R279" t="s">
        <v>403</v>
      </c>
      <c r="S279" t="s">
        <v>406</v>
      </c>
      <c r="T279">
        <v>0</v>
      </c>
      <c r="U279" t="s">
        <v>417</v>
      </c>
    </row>
    <row r="280" spans="1:21" x14ac:dyDescent="0.3">
      <c r="A280" t="s">
        <v>176</v>
      </c>
      <c r="B280" t="s">
        <v>13</v>
      </c>
      <c r="C280" t="s">
        <v>16</v>
      </c>
      <c r="D280">
        <v>0</v>
      </c>
      <c r="E280" t="s">
        <v>22</v>
      </c>
      <c r="F280" t="s">
        <v>14</v>
      </c>
      <c r="G280">
        <v>1599</v>
      </c>
      <c r="H280">
        <v>2474</v>
      </c>
      <c r="I280">
        <v>125</v>
      </c>
      <c r="J280">
        <v>300</v>
      </c>
      <c r="K280">
        <v>1</v>
      </c>
      <c r="L280" t="s">
        <v>26</v>
      </c>
      <c r="M280">
        <v>4073</v>
      </c>
      <c r="N280">
        <v>339.41666666666669</v>
      </c>
      <c r="O280" s="3">
        <v>1006.5338543276641</v>
      </c>
      <c r="P280" s="3">
        <v>2.9654815251490225</v>
      </c>
      <c r="Q280" t="s">
        <v>395</v>
      </c>
      <c r="R280" t="s">
        <v>403</v>
      </c>
      <c r="S280" t="s">
        <v>404</v>
      </c>
      <c r="T280">
        <v>0</v>
      </c>
      <c r="U280" t="s">
        <v>416</v>
      </c>
    </row>
    <row r="281" spans="1:21" x14ac:dyDescent="0.3">
      <c r="A281" t="s">
        <v>182</v>
      </c>
      <c r="B281" t="s">
        <v>13</v>
      </c>
      <c r="C281" t="s">
        <v>16</v>
      </c>
      <c r="D281">
        <v>0</v>
      </c>
      <c r="E281" t="s">
        <v>15</v>
      </c>
      <c r="F281" t="s">
        <v>16</v>
      </c>
      <c r="G281">
        <v>2964</v>
      </c>
      <c r="H281">
        <v>0</v>
      </c>
      <c r="I281">
        <v>84</v>
      </c>
      <c r="J281">
        <v>360</v>
      </c>
      <c r="K281">
        <v>0</v>
      </c>
      <c r="L281" t="s">
        <v>26</v>
      </c>
      <c r="M281">
        <v>2964</v>
      </c>
      <c r="N281">
        <v>247</v>
      </c>
      <c r="O281" s="3">
        <v>645.88732621084023</v>
      </c>
      <c r="P281" s="3">
        <v>2.6149284461977338</v>
      </c>
      <c r="Q281" t="s">
        <v>394</v>
      </c>
      <c r="R281" t="s">
        <v>403</v>
      </c>
      <c r="S281" t="s">
        <v>406</v>
      </c>
      <c r="T281">
        <v>1</v>
      </c>
      <c r="U281" t="s">
        <v>416</v>
      </c>
    </row>
    <row r="282" spans="1:21" x14ac:dyDescent="0.3">
      <c r="A282" t="s">
        <v>184</v>
      </c>
      <c r="B282" t="s">
        <v>25</v>
      </c>
      <c r="C282" t="s">
        <v>16</v>
      </c>
      <c r="D282">
        <v>0</v>
      </c>
      <c r="E282" t="s">
        <v>15</v>
      </c>
      <c r="F282" t="s">
        <v>16</v>
      </c>
      <c r="G282">
        <v>2708</v>
      </c>
      <c r="H282">
        <v>0</v>
      </c>
      <c r="I282">
        <v>65</v>
      </c>
      <c r="J282">
        <v>360</v>
      </c>
      <c r="K282">
        <v>1</v>
      </c>
      <c r="L282" t="s">
        <v>28</v>
      </c>
      <c r="M282">
        <v>2708</v>
      </c>
      <c r="N282">
        <v>225.66666666666666</v>
      </c>
      <c r="O282" s="3">
        <v>499.7937643298169</v>
      </c>
      <c r="P282" s="3">
        <v>2.2147434165279924</v>
      </c>
      <c r="Q282" t="s">
        <v>395</v>
      </c>
      <c r="R282" t="s">
        <v>403</v>
      </c>
      <c r="S282" t="s">
        <v>406</v>
      </c>
      <c r="T282">
        <v>0</v>
      </c>
      <c r="U282" t="s">
        <v>417</v>
      </c>
    </row>
    <row r="283" spans="1:21" x14ac:dyDescent="0.3">
      <c r="A283" t="s">
        <v>186</v>
      </c>
      <c r="B283" t="s">
        <v>13</v>
      </c>
      <c r="C283" t="s">
        <v>16</v>
      </c>
      <c r="D283">
        <v>0</v>
      </c>
      <c r="E283" t="s">
        <v>22</v>
      </c>
      <c r="F283" t="s">
        <v>16</v>
      </c>
      <c r="G283">
        <v>2268</v>
      </c>
      <c r="H283">
        <v>0</v>
      </c>
      <c r="I283">
        <v>170</v>
      </c>
      <c r="J283">
        <v>360</v>
      </c>
      <c r="K283">
        <v>0</v>
      </c>
      <c r="L283" t="s">
        <v>26</v>
      </c>
      <c r="M283">
        <v>2268</v>
      </c>
      <c r="N283">
        <v>189</v>
      </c>
      <c r="O283" s="3">
        <v>1307.1529220933671</v>
      </c>
      <c r="P283" s="3">
        <v>6.9161530269490328</v>
      </c>
      <c r="Q283" t="s">
        <v>394</v>
      </c>
      <c r="R283" t="s">
        <v>403</v>
      </c>
      <c r="S283" t="s">
        <v>404</v>
      </c>
      <c r="T283">
        <v>1</v>
      </c>
      <c r="U283" t="s">
        <v>416</v>
      </c>
    </row>
    <row r="284" spans="1:21" x14ac:dyDescent="0.3">
      <c r="A284" t="s">
        <v>187</v>
      </c>
      <c r="B284" t="s">
        <v>13</v>
      </c>
      <c r="C284" t="s">
        <v>16</v>
      </c>
      <c r="D284">
        <v>2</v>
      </c>
      <c r="E284" t="s">
        <v>22</v>
      </c>
      <c r="F284" t="s">
        <v>16</v>
      </c>
      <c r="G284">
        <v>1141</v>
      </c>
      <c r="H284">
        <v>2017</v>
      </c>
      <c r="I284">
        <v>120</v>
      </c>
      <c r="J284">
        <v>360</v>
      </c>
      <c r="K284">
        <v>0</v>
      </c>
      <c r="L284" t="s">
        <v>17</v>
      </c>
      <c r="M284">
        <v>3158</v>
      </c>
      <c r="N284">
        <v>263.16666666666669</v>
      </c>
      <c r="O284" s="3">
        <v>922.69618030120034</v>
      </c>
      <c r="P284" s="3">
        <v>3.5061286141907546</v>
      </c>
      <c r="Q284" t="s">
        <v>394</v>
      </c>
      <c r="R284" t="s">
        <v>403</v>
      </c>
      <c r="S284" t="s">
        <v>404</v>
      </c>
      <c r="T284">
        <v>1</v>
      </c>
      <c r="U284" t="s">
        <v>415</v>
      </c>
    </row>
    <row r="285" spans="1:21" x14ac:dyDescent="0.3">
      <c r="A285" t="s">
        <v>189</v>
      </c>
      <c r="B285" t="s">
        <v>25</v>
      </c>
      <c r="C285" t="s">
        <v>14</v>
      </c>
      <c r="D285">
        <v>3</v>
      </c>
      <c r="E285" t="s">
        <v>15</v>
      </c>
      <c r="F285" t="s">
        <v>16</v>
      </c>
      <c r="G285">
        <v>1750</v>
      </c>
      <c r="H285">
        <v>2935</v>
      </c>
      <c r="I285">
        <v>94</v>
      </c>
      <c r="J285">
        <v>360</v>
      </c>
      <c r="K285">
        <v>0</v>
      </c>
      <c r="L285" t="s">
        <v>26</v>
      </c>
      <c r="M285">
        <v>4685</v>
      </c>
      <c r="N285">
        <v>390.41666666666669</v>
      </c>
      <c r="O285" s="3">
        <v>722.77867456927368</v>
      </c>
      <c r="P285" s="3">
        <v>1.8513007673065707</v>
      </c>
      <c r="Q285" t="s">
        <v>394</v>
      </c>
      <c r="R285" t="s">
        <v>403</v>
      </c>
      <c r="S285" t="s">
        <v>406</v>
      </c>
      <c r="T285">
        <v>1</v>
      </c>
      <c r="U285" t="s">
        <v>416</v>
      </c>
    </row>
    <row r="286" spans="1:21" x14ac:dyDescent="0.3">
      <c r="A286" t="s">
        <v>190</v>
      </c>
      <c r="B286" t="s">
        <v>25</v>
      </c>
      <c r="C286" t="s">
        <v>14</v>
      </c>
      <c r="D286">
        <v>1</v>
      </c>
      <c r="E286" t="s">
        <v>15</v>
      </c>
      <c r="F286" t="s">
        <v>16</v>
      </c>
      <c r="G286">
        <v>3564</v>
      </c>
      <c r="H286">
        <v>0</v>
      </c>
      <c r="I286">
        <v>79</v>
      </c>
      <c r="J286">
        <v>360</v>
      </c>
      <c r="K286">
        <v>1</v>
      </c>
      <c r="L286" t="s">
        <v>28</v>
      </c>
      <c r="M286">
        <v>3564</v>
      </c>
      <c r="N286">
        <v>297</v>
      </c>
      <c r="O286" s="3">
        <v>607.44165203162356</v>
      </c>
      <c r="P286" s="3">
        <v>2.045258087648564</v>
      </c>
      <c r="Q286" t="s">
        <v>395</v>
      </c>
      <c r="R286" t="s">
        <v>403</v>
      </c>
      <c r="S286" t="s">
        <v>406</v>
      </c>
      <c r="T286">
        <v>0</v>
      </c>
      <c r="U286" t="s">
        <v>417</v>
      </c>
    </row>
    <row r="287" spans="1:21" x14ac:dyDescent="0.3">
      <c r="A287" t="s">
        <v>191</v>
      </c>
      <c r="B287" t="s">
        <v>25</v>
      </c>
      <c r="C287" t="s">
        <v>16</v>
      </c>
      <c r="D287">
        <v>0</v>
      </c>
      <c r="E287" t="s">
        <v>15</v>
      </c>
      <c r="F287" t="s">
        <v>16</v>
      </c>
      <c r="G287">
        <v>3958</v>
      </c>
      <c r="H287">
        <v>0</v>
      </c>
      <c r="I287">
        <v>110</v>
      </c>
      <c r="J287">
        <v>360</v>
      </c>
      <c r="K287">
        <v>1</v>
      </c>
      <c r="L287" t="s">
        <v>28</v>
      </c>
      <c r="M287">
        <v>3958</v>
      </c>
      <c r="N287">
        <v>329.83333333333331</v>
      </c>
      <c r="O287" s="3">
        <v>845.80483194276701</v>
      </c>
      <c r="P287" s="3">
        <v>2.564340066526833</v>
      </c>
      <c r="Q287" t="s">
        <v>395</v>
      </c>
      <c r="R287" t="s">
        <v>403</v>
      </c>
      <c r="S287" t="s">
        <v>404</v>
      </c>
      <c r="T287">
        <v>0</v>
      </c>
      <c r="U287" t="s">
        <v>417</v>
      </c>
    </row>
    <row r="288" spans="1:21" x14ac:dyDescent="0.3">
      <c r="A288" t="s">
        <v>192</v>
      </c>
      <c r="B288" t="s">
        <v>13</v>
      </c>
      <c r="C288" t="s">
        <v>14</v>
      </c>
      <c r="D288">
        <v>2</v>
      </c>
      <c r="E288" t="s">
        <v>22</v>
      </c>
      <c r="F288" t="s">
        <v>16</v>
      </c>
      <c r="G288">
        <v>4483</v>
      </c>
      <c r="H288">
        <v>0</v>
      </c>
      <c r="I288">
        <v>130</v>
      </c>
      <c r="J288">
        <v>360</v>
      </c>
      <c r="K288">
        <v>1</v>
      </c>
      <c r="L288" t="s">
        <v>28</v>
      </c>
      <c r="M288">
        <v>4483</v>
      </c>
      <c r="N288">
        <v>373.58333333333331</v>
      </c>
      <c r="O288" s="3">
        <v>999.58752865963379</v>
      </c>
      <c r="P288" s="3">
        <v>2.6756748480739696</v>
      </c>
      <c r="Q288" t="s">
        <v>395</v>
      </c>
      <c r="R288" t="s">
        <v>403</v>
      </c>
      <c r="S288" t="s">
        <v>404</v>
      </c>
      <c r="T288">
        <v>0</v>
      </c>
      <c r="U288" t="s">
        <v>417</v>
      </c>
    </row>
    <row r="289" spans="1:21" x14ac:dyDescent="0.3">
      <c r="A289" t="s">
        <v>195</v>
      </c>
      <c r="B289" t="s">
        <v>13</v>
      </c>
      <c r="C289" t="s">
        <v>14</v>
      </c>
      <c r="D289">
        <v>0</v>
      </c>
      <c r="E289" t="s">
        <v>22</v>
      </c>
      <c r="F289" t="s">
        <v>16</v>
      </c>
      <c r="G289">
        <v>2431</v>
      </c>
      <c r="H289">
        <v>1820</v>
      </c>
      <c r="I289">
        <v>110</v>
      </c>
      <c r="J289">
        <v>360</v>
      </c>
      <c r="K289">
        <v>0</v>
      </c>
      <c r="L289" t="s">
        <v>28</v>
      </c>
      <c r="M289">
        <v>4251</v>
      </c>
      <c r="N289">
        <v>354.25</v>
      </c>
      <c r="O289" s="3">
        <v>845.80483194276701</v>
      </c>
      <c r="P289" s="3">
        <v>2.3875930330071053</v>
      </c>
      <c r="Q289" t="s">
        <v>394</v>
      </c>
      <c r="R289" t="s">
        <v>403</v>
      </c>
      <c r="S289" t="s">
        <v>404</v>
      </c>
      <c r="T289">
        <v>1</v>
      </c>
      <c r="U289" t="s">
        <v>417</v>
      </c>
    </row>
    <row r="290" spans="1:21" x14ac:dyDescent="0.3">
      <c r="A290" t="s">
        <v>198</v>
      </c>
      <c r="B290" t="s">
        <v>25</v>
      </c>
      <c r="C290" t="s">
        <v>16</v>
      </c>
      <c r="D290">
        <v>0</v>
      </c>
      <c r="E290" t="s">
        <v>15</v>
      </c>
      <c r="F290" t="s">
        <v>16</v>
      </c>
      <c r="G290">
        <v>2918</v>
      </c>
      <c r="H290">
        <v>0</v>
      </c>
      <c r="I290">
        <v>65</v>
      </c>
      <c r="J290">
        <v>360</v>
      </c>
      <c r="K290">
        <v>0</v>
      </c>
      <c r="L290" t="s">
        <v>28</v>
      </c>
      <c r="M290">
        <v>2918</v>
      </c>
      <c r="N290">
        <v>243.16666666666666</v>
      </c>
      <c r="O290" s="3">
        <v>499.7937643298169</v>
      </c>
      <c r="P290" s="3">
        <v>2.0553547539265944</v>
      </c>
      <c r="Q290" t="s">
        <v>394</v>
      </c>
      <c r="R290" t="s">
        <v>403</v>
      </c>
      <c r="S290" t="s">
        <v>406</v>
      </c>
      <c r="T290">
        <v>1</v>
      </c>
      <c r="U290" t="s">
        <v>417</v>
      </c>
    </row>
    <row r="291" spans="1:21" x14ac:dyDescent="0.3">
      <c r="A291" t="s">
        <v>203</v>
      </c>
      <c r="B291" t="s">
        <v>13</v>
      </c>
      <c r="C291" t="s">
        <v>14</v>
      </c>
      <c r="D291">
        <v>2</v>
      </c>
      <c r="E291" t="s">
        <v>15</v>
      </c>
      <c r="F291" t="s">
        <v>16</v>
      </c>
      <c r="G291">
        <v>4358</v>
      </c>
      <c r="H291">
        <v>0</v>
      </c>
      <c r="I291">
        <v>110</v>
      </c>
      <c r="J291">
        <v>360</v>
      </c>
      <c r="K291">
        <v>1</v>
      </c>
      <c r="L291" t="s">
        <v>17</v>
      </c>
      <c r="M291">
        <v>4358</v>
      </c>
      <c r="N291">
        <v>363.16666666666669</v>
      </c>
      <c r="O291" s="3">
        <v>845.80483194276701</v>
      </c>
      <c r="P291" s="3">
        <v>2.3289715427519972</v>
      </c>
      <c r="Q291" t="s">
        <v>395</v>
      </c>
      <c r="R291" t="s">
        <v>403</v>
      </c>
      <c r="S291" t="s">
        <v>404</v>
      </c>
      <c r="T291">
        <v>0</v>
      </c>
      <c r="U291" t="s">
        <v>415</v>
      </c>
    </row>
    <row r="292" spans="1:21" x14ac:dyDescent="0.3">
      <c r="A292" t="s">
        <v>206</v>
      </c>
      <c r="B292" t="s">
        <v>13</v>
      </c>
      <c r="C292" t="s">
        <v>14</v>
      </c>
      <c r="D292">
        <v>0</v>
      </c>
      <c r="E292" t="s">
        <v>22</v>
      </c>
      <c r="F292" t="s">
        <v>16</v>
      </c>
      <c r="G292">
        <v>4483</v>
      </c>
      <c r="H292">
        <v>0</v>
      </c>
      <c r="I292">
        <v>135</v>
      </c>
      <c r="J292">
        <v>360</v>
      </c>
      <c r="K292">
        <v>0</v>
      </c>
      <c r="L292" t="s">
        <v>26</v>
      </c>
      <c r="M292">
        <v>4483</v>
      </c>
      <c r="N292">
        <v>373.58333333333331</v>
      </c>
      <c r="O292" s="3">
        <v>1038.0332028388502</v>
      </c>
      <c r="P292" s="3">
        <v>2.7785854191537371</v>
      </c>
      <c r="Q292" t="s">
        <v>394</v>
      </c>
      <c r="R292" t="s">
        <v>403</v>
      </c>
      <c r="S292" t="s">
        <v>404</v>
      </c>
      <c r="T292">
        <v>1</v>
      </c>
      <c r="U292" t="s">
        <v>416</v>
      </c>
    </row>
    <row r="293" spans="1:21" x14ac:dyDescent="0.3">
      <c r="A293" t="s">
        <v>211</v>
      </c>
      <c r="B293" t="s">
        <v>25</v>
      </c>
      <c r="C293" t="s">
        <v>14</v>
      </c>
      <c r="D293">
        <v>1</v>
      </c>
      <c r="E293" t="s">
        <v>15</v>
      </c>
      <c r="F293" t="s">
        <v>16</v>
      </c>
      <c r="G293">
        <v>4333</v>
      </c>
      <c r="H293">
        <v>0</v>
      </c>
      <c r="I293">
        <v>132</v>
      </c>
      <c r="J293">
        <v>84</v>
      </c>
      <c r="K293">
        <v>1</v>
      </c>
      <c r="L293" t="s">
        <v>28</v>
      </c>
      <c r="M293">
        <v>4333</v>
      </c>
      <c r="N293">
        <v>361.08333333333331</v>
      </c>
      <c r="O293" s="3">
        <v>2090.4160777025718</v>
      </c>
      <c r="P293" s="3">
        <v>5.7892898528573422</v>
      </c>
      <c r="Q293" t="s">
        <v>395</v>
      </c>
      <c r="R293" t="s">
        <v>403</v>
      </c>
      <c r="S293" t="s">
        <v>404</v>
      </c>
      <c r="T293">
        <v>0</v>
      </c>
      <c r="U293" t="s">
        <v>417</v>
      </c>
    </row>
    <row r="294" spans="1:21" x14ac:dyDescent="0.3">
      <c r="A294" t="s">
        <v>212</v>
      </c>
      <c r="B294" t="s">
        <v>13</v>
      </c>
      <c r="C294" t="s">
        <v>16</v>
      </c>
      <c r="D294">
        <v>0</v>
      </c>
      <c r="E294" t="s">
        <v>15</v>
      </c>
      <c r="F294" t="s">
        <v>16</v>
      </c>
      <c r="G294">
        <v>4083</v>
      </c>
      <c r="H294">
        <v>0</v>
      </c>
      <c r="I294">
        <v>96</v>
      </c>
      <c r="J294">
        <v>360</v>
      </c>
      <c r="K294">
        <v>1</v>
      </c>
      <c r="L294" t="s">
        <v>17</v>
      </c>
      <c r="M294">
        <v>4083</v>
      </c>
      <c r="N294">
        <v>340.25</v>
      </c>
      <c r="O294" s="3">
        <v>738.15694424096023</v>
      </c>
      <c r="P294" s="3">
        <v>2.169454648761088</v>
      </c>
      <c r="Q294" t="s">
        <v>395</v>
      </c>
      <c r="R294" t="s">
        <v>403</v>
      </c>
      <c r="S294" t="s">
        <v>406</v>
      </c>
      <c r="T294">
        <v>0</v>
      </c>
      <c r="U294" t="s">
        <v>415</v>
      </c>
    </row>
    <row r="295" spans="1:21" x14ac:dyDescent="0.3">
      <c r="A295" t="s">
        <v>214</v>
      </c>
      <c r="B295" t="s">
        <v>13</v>
      </c>
      <c r="C295" t="s">
        <v>14</v>
      </c>
      <c r="D295">
        <v>3</v>
      </c>
      <c r="E295" t="s">
        <v>22</v>
      </c>
      <c r="F295" t="s">
        <v>16</v>
      </c>
      <c r="G295">
        <v>2654</v>
      </c>
      <c r="H295">
        <v>1998</v>
      </c>
      <c r="I295">
        <v>128</v>
      </c>
      <c r="J295">
        <v>360</v>
      </c>
      <c r="K295">
        <v>0</v>
      </c>
      <c r="L295" t="s">
        <v>28</v>
      </c>
      <c r="M295">
        <v>4652</v>
      </c>
      <c r="N295">
        <v>387.66666666666669</v>
      </c>
      <c r="O295" s="3">
        <v>984.20925898794701</v>
      </c>
      <c r="P295" s="3">
        <v>2.5388029036662432</v>
      </c>
      <c r="Q295" t="s">
        <v>394</v>
      </c>
      <c r="R295" t="s">
        <v>403</v>
      </c>
      <c r="S295" t="s">
        <v>404</v>
      </c>
      <c r="T295">
        <v>1</v>
      </c>
      <c r="U295" t="s">
        <v>417</v>
      </c>
    </row>
    <row r="296" spans="1:21" x14ac:dyDescent="0.3">
      <c r="A296" t="s">
        <v>217</v>
      </c>
      <c r="B296" t="s">
        <v>13</v>
      </c>
      <c r="C296" t="s">
        <v>14</v>
      </c>
      <c r="D296">
        <v>1</v>
      </c>
      <c r="E296" t="s">
        <v>15</v>
      </c>
      <c r="F296" t="s">
        <v>16</v>
      </c>
      <c r="G296">
        <v>4796</v>
      </c>
      <c r="H296">
        <v>0</v>
      </c>
      <c r="I296">
        <v>114</v>
      </c>
      <c r="J296">
        <v>360</v>
      </c>
      <c r="K296">
        <v>0</v>
      </c>
      <c r="L296" t="s">
        <v>26</v>
      </c>
      <c r="M296">
        <v>4796</v>
      </c>
      <c r="N296">
        <v>399.66666666666669</v>
      </c>
      <c r="O296" s="3">
        <v>876.56137128614034</v>
      </c>
      <c r="P296" s="3">
        <v>2.1932311208160309</v>
      </c>
      <c r="Q296" t="s">
        <v>394</v>
      </c>
      <c r="R296" t="s">
        <v>403</v>
      </c>
      <c r="S296" t="s">
        <v>404</v>
      </c>
      <c r="T296">
        <v>1</v>
      </c>
      <c r="U296" t="s">
        <v>416</v>
      </c>
    </row>
    <row r="297" spans="1:21" x14ac:dyDescent="0.3">
      <c r="A297" t="s">
        <v>218</v>
      </c>
      <c r="B297" t="s">
        <v>13</v>
      </c>
      <c r="C297" t="s">
        <v>14</v>
      </c>
      <c r="D297">
        <v>0</v>
      </c>
      <c r="E297" t="s">
        <v>22</v>
      </c>
      <c r="F297" t="s">
        <v>16</v>
      </c>
      <c r="G297">
        <v>2000</v>
      </c>
      <c r="H297">
        <v>1600</v>
      </c>
      <c r="I297">
        <v>115</v>
      </c>
      <c r="J297">
        <v>360</v>
      </c>
      <c r="K297">
        <v>1</v>
      </c>
      <c r="L297" t="s">
        <v>28</v>
      </c>
      <c r="M297">
        <v>3600</v>
      </c>
      <c r="N297">
        <v>300</v>
      </c>
      <c r="O297" s="3">
        <v>884.25050612198368</v>
      </c>
      <c r="P297" s="3">
        <v>2.9475016870732791</v>
      </c>
      <c r="Q297" t="s">
        <v>395</v>
      </c>
      <c r="R297" t="s">
        <v>403</v>
      </c>
      <c r="S297" t="s">
        <v>404</v>
      </c>
      <c r="T297">
        <v>0</v>
      </c>
      <c r="U297" t="s">
        <v>417</v>
      </c>
    </row>
    <row r="298" spans="1:21" x14ac:dyDescent="0.3">
      <c r="A298" t="s">
        <v>219</v>
      </c>
      <c r="B298" t="s">
        <v>13</v>
      </c>
      <c r="C298" t="s">
        <v>14</v>
      </c>
      <c r="D298">
        <v>2</v>
      </c>
      <c r="E298" t="s">
        <v>15</v>
      </c>
      <c r="F298" t="s">
        <v>16</v>
      </c>
      <c r="G298">
        <v>2540</v>
      </c>
      <c r="H298">
        <v>700</v>
      </c>
      <c r="I298">
        <v>104</v>
      </c>
      <c r="J298">
        <v>360</v>
      </c>
      <c r="K298">
        <v>0</v>
      </c>
      <c r="L298" t="s">
        <v>17</v>
      </c>
      <c r="M298">
        <v>3240</v>
      </c>
      <c r="N298">
        <v>270</v>
      </c>
      <c r="O298" s="3">
        <v>799.67002292770701</v>
      </c>
      <c r="P298" s="3">
        <v>2.9617408256581741</v>
      </c>
      <c r="Q298" t="s">
        <v>394</v>
      </c>
      <c r="R298" t="s">
        <v>403</v>
      </c>
      <c r="S298" t="s">
        <v>404</v>
      </c>
      <c r="T298">
        <v>1</v>
      </c>
      <c r="U298" t="s">
        <v>415</v>
      </c>
    </row>
    <row r="299" spans="1:21" x14ac:dyDescent="0.3">
      <c r="A299" t="s">
        <v>220</v>
      </c>
      <c r="B299" t="s">
        <v>13</v>
      </c>
      <c r="C299" t="s">
        <v>14</v>
      </c>
      <c r="D299">
        <v>0</v>
      </c>
      <c r="E299" t="s">
        <v>15</v>
      </c>
      <c r="F299" t="s">
        <v>14</v>
      </c>
      <c r="G299">
        <v>1900</v>
      </c>
      <c r="H299">
        <v>1442</v>
      </c>
      <c r="I299">
        <v>88</v>
      </c>
      <c r="J299">
        <v>360</v>
      </c>
      <c r="K299">
        <v>1</v>
      </c>
      <c r="L299" t="s">
        <v>28</v>
      </c>
      <c r="M299">
        <v>3342</v>
      </c>
      <c r="N299">
        <v>278.5</v>
      </c>
      <c r="O299" s="3">
        <v>676.64386555421368</v>
      </c>
      <c r="P299" s="3">
        <v>2.4296009535160277</v>
      </c>
      <c r="Q299" t="s">
        <v>395</v>
      </c>
      <c r="R299" t="s">
        <v>403</v>
      </c>
      <c r="S299" t="s">
        <v>406</v>
      </c>
      <c r="T299">
        <v>0</v>
      </c>
      <c r="U299" t="s">
        <v>417</v>
      </c>
    </row>
    <row r="300" spans="1:21" x14ac:dyDescent="0.3">
      <c r="A300" t="s">
        <v>222</v>
      </c>
      <c r="B300" t="s">
        <v>13</v>
      </c>
      <c r="C300" t="s">
        <v>14</v>
      </c>
      <c r="D300">
        <v>3</v>
      </c>
      <c r="E300" t="s">
        <v>22</v>
      </c>
      <c r="F300" t="s">
        <v>16</v>
      </c>
      <c r="G300">
        <v>2855</v>
      </c>
      <c r="H300">
        <v>542</v>
      </c>
      <c r="I300">
        <v>90</v>
      </c>
      <c r="J300">
        <v>360</v>
      </c>
      <c r="K300">
        <v>1</v>
      </c>
      <c r="L300" t="s">
        <v>17</v>
      </c>
      <c r="M300">
        <v>3397</v>
      </c>
      <c r="N300">
        <v>283.08333333333331</v>
      </c>
      <c r="O300" s="3">
        <v>692.02213522590023</v>
      </c>
      <c r="P300" s="3">
        <v>2.4445880549634391</v>
      </c>
      <c r="Q300" t="s">
        <v>395</v>
      </c>
      <c r="R300" t="s">
        <v>403</v>
      </c>
      <c r="S300" t="s">
        <v>406</v>
      </c>
      <c r="T300">
        <v>0</v>
      </c>
      <c r="U300" t="s">
        <v>415</v>
      </c>
    </row>
    <row r="301" spans="1:21" x14ac:dyDescent="0.3">
      <c r="A301" t="s">
        <v>223</v>
      </c>
      <c r="B301" t="s">
        <v>13</v>
      </c>
      <c r="C301" t="s">
        <v>14</v>
      </c>
      <c r="D301">
        <v>0</v>
      </c>
      <c r="E301" t="s">
        <v>15</v>
      </c>
      <c r="F301" t="s">
        <v>16</v>
      </c>
      <c r="G301">
        <v>3016</v>
      </c>
      <c r="H301">
        <v>1300</v>
      </c>
      <c r="I301">
        <v>100</v>
      </c>
      <c r="J301">
        <v>360</v>
      </c>
      <c r="K301">
        <v>0</v>
      </c>
      <c r="L301" t="s">
        <v>17</v>
      </c>
      <c r="M301">
        <v>4316</v>
      </c>
      <c r="N301">
        <v>359.66666666666669</v>
      </c>
      <c r="O301" s="3">
        <v>768.91348358433368</v>
      </c>
      <c r="P301" s="3">
        <v>2.1378502787330871</v>
      </c>
      <c r="Q301" t="s">
        <v>394</v>
      </c>
      <c r="R301" t="s">
        <v>403</v>
      </c>
      <c r="S301" t="s">
        <v>404</v>
      </c>
      <c r="T301">
        <v>1</v>
      </c>
      <c r="U301" t="s">
        <v>415</v>
      </c>
    </row>
    <row r="302" spans="1:21" x14ac:dyDescent="0.3">
      <c r="A302" t="s">
        <v>225</v>
      </c>
      <c r="B302" t="s">
        <v>25</v>
      </c>
      <c r="C302" t="s">
        <v>16</v>
      </c>
      <c r="D302">
        <v>0</v>
      </c>
      <c r="E302" t="s">
        <v>15</v>
      </c>
      <c r="F302" t="s">
        <v>16</v>
      </c>
      <c r="G302">
        <v>1937</v>
      </c>
      <c r="H302">
        <v>1152</v>
      </c>
      <c r="I302">
        <v>78</v>
      </c>
      <c r="J302">
        <v>360</v>
      </c>
      <c r="K302">
        <v>1</v>
      </c>
      <c r="L302" t="s">
        <v>26</v>
      </c>
      <c r="M302">
        <v>3089</v>
      </c>
      <c r="N302">
        <v>257.41666666666669</v>
      </c>
      <c r="O302" s="3">
        <v>599.75251719578023</v>
      </c>
      <c r="P302" s="3">
        <v>2.3298899988181812</v>
      </c>
      <c r="Q302" t="s">
        <v>395</v>
      </c>
      <c r="R302" t="s">
        <v>403</v>
      </c>
      <c r="S302" t="s">
        <v>406</v>
      </c>
      <c r="T302">
        <v>0</v>
      </c>
      <c r="U302" t="s">
        <v>416</v>
      </c>
    </row>
    <row r="303" spans="1:21" x14ac:dyDescent="0.3">
      <c r="A303" t="s">
        <v>228</v>
      </c>
      <c r="B303" t="s">
        <v>13</v>
      </c>
      <c r="C303" t="s">
        <v>14</v>
      </c>
      <c r="D303">
        <v>1</v>
      </c>
      <c r="E303" t="s">
        <v>15</v>
      </c>
      <c r="F303" t="s">
        <v>16</v>
      </c>
      <c r="G303">
        <v>3074</v>
      </c>
      <c r="H303">
        <v>1083</v>
      </c>
      <c r="I303">
        <v>146</v>
      </c>
      <c r="J303">
        <v>360</v>
      </c>
      <c r="K303">
        <v>1</v>
      </c>
      <c r="L303" t="s">
        <v>26</v>
      </c>
      <c r="M303">
        <v>4157</v>
      </c>
      <c r="N303">
        <v>346.41666666666669</v>
      </c>
      <c r="O303" s="3">
        <v>1122.6136860331271</v>
      </c>
      <c r="P303" s="3">
        <v>3.240645713831495</v>
      </c>
      <c r="Q303" t="s">
        <v>395</v>
      </c>
      <c r="R303" t="s">
        <v>403</v>
      </c>
      <c r="S303" t="s">
        <v>404</v>
      </c>
      <c r="T303">
        <v>0</v>
      </c>
      <c r="U303" t="s">
        <v>416</v>
      </c>
    </row>
    <row r="304" spans="1:21" x14ac:dyDescent="0.3">
      <c r="A304" t="s">
        <v>229</v>
      </c>
      <c r="B304" t="s">
        <v>25</v>
      </c>
      <c r="C304" t="s">
        <v>16</v>
      </c>
      <c r="D304">
        <v>0</v>
      </c>
      <c r="E304" t="s">
        <v>15</v>
      </c>
      <c r="F304" t="s">
        <v>16</v>
      </c>
      <c r="G304">
        <v>4213</v>
      </c>
      <c r="H304">
        <v>0</v>
      </c>
      <c r="I304">
        <v>80</v>
      </c>
      <c r="J304">
        <v>360</v>
      </c>
      <c r="K304">
        <v>1</v>
      </c>
      <c r="L304" t="s">
        <v>17</v>
      </c>
      <c r="M304">
        <v>4213</v>
      </c>
      <c r="N304">
        <v>351.08333333333331</v>
      </c>
      <c r="O304" s="3">
        <v>615.1307868674669</v>
      </c>
      <c r="P304" s="3">
        <v>1.7520933877070028</v>
      </c>
      <c r="Q304" t="s">
        <v>395</v>
      </c>
      <c r="R304" t="s">
        <v>403</v>
      </c>
      <c r="S304" t="s">
        <v>406</v>
      </c>
      <c r="T304">
        <v>0</v>
      </c>
      <c r="U304" t="s">
        <v>415</v>
      </c>
    </row>
    <row r="305" spans="1:21" x14ac:dyDescent="0.3">
      <c r="A305" t="s">
        <v>231</v>
      </c>
      <c r="B305" t="s">
        <v>25</v>
      </c>
      <c r="C305" t="s">
        <v>16</v>
      </c>
      <c r="D305">
        <v>0</v>
      </c>
      <c r="E305" t="s">
        <v>15</v>
      </c>
      <c r="F305" t="s">
        <v>16</v>
      </c>
      <c r="G305">
        <v>2362</v>
      </c>
      <c r="H305">
        <v>0</v>
      </c>
      <c r="I305">
        <v>55</v>
      </c>
      <c r="J305">
        <v>360</v>
      </c>
      <c r="K305">
        <v>1</v>
      </c>
      <c r="L305" t="s">
        <v>17</v>
      </c>
      <c r="M305">
        <v>2362</v>
      </c>
      <c r="N305">
        <v>196.83333333333334</v>
      </c>
      <c r="O305" s="3">
        <v>422.9024159713835</v>
      </c>
      <c r="P305" s="3">
        <v>2.1485304791094841</v>
      </c>
      <c r="Q305" t="s">
        <v>395</v>
      </c>
      <c r="R305" t="s">
        <v>403</v>
      </c>
      <c r="S305" t="s">
        <v>406</v>
      </c>
      <c r="T305">
        <v>0</v>
      </c>
      <c r="U305" t="s">
        <v>415</v>
      </c>
    </row>
    <row r="306" spans="1:21" x14ac:dyDescent="0.3">
      <c r="A306" t="s">
        <v>241</v>
      </c>
      <c r="B306" t="s">
        <v>13</v>
      </c>
      <c r="C306" t="s">
        <v>14</v>
      </c>
      <c r="D306">
        <v>0</v>
      </c>
      <c r="E306" t="s">
        <v>15</v>
      </c>
      <c r="F306" t="s">
        <v>16</v>
      </c>
      <c r="G306">
        <v>2166</v>
      </c>
      <c r="H306">
        <v>2166</v>
      </c>
      <c r="I306">
        <v>108</v>
      </c>
      <c r="J306">
        <v>360</v>
      </c>
      <c r="K306">
        <v>0</v>
      </c>
      <c r="L306" t="s">
        <v>17</v>
      </c>
      <c r="M306">
        <v>4332</v>
      </c>
      <c r="N306">
        <v>361</v>
      </c>
      <c r="O306" s="3">
        <v>830.42656227108023</v>
      </c>
      <c r="P306" s="3">
        <v>2.3003505880085324</v>
      </c>
      <c r="Q306" t="s">
        <v>394</v>
      </c>
      <c r="R306" t="s">
        <v>403</v>
      </c>
      <c r="S306" t="s">
        <v>404</v>
      </c>
      <c r="T306">
        <v>1</v>
      </c>
      <c r="U306" t="s">
        <v>415</v>
      </c>
    </row>
    <row r="307" spans="1:21" x14ac:dyDescent="0.3">
      <c r="A307" t="s">
        <v>243</v>
      </c>
      <c r="B307" t="s">
        <v>13</v>
      </c>
      <c r="C307" t="s">
        <v>14</v>
      </c>
      <c r="D307">
        <v>2</v>
      </c>
      <c r="E307" t="s">
        <v>22</v>
      </c>
      <c r="F307" t="s">
        <v>16</v>
      </c>
      <c r="G307">
        <v>2896</v>
      </c>
      <c r="H307">
        <v>0</v>
      </c>
      <c r="I307">
        <v>80</v>
      </c>
      <c r="J307">
        <v>480</v>
      </c>
      <c r="K307">
        <v>1</v>
      </c>
      <c r="L307" t="s">
        <v>17</v>
      </c>
      <c r="M307">
        <v>2896</v>
      </c>
      <c r="N307">
        <v>241.33333333333334</v>
      </c>
      <c r="O307" s="3">
        <v>586.47525463100112</v>
      </c>
      <c r="P307" s="3">
        <v>2.4301460827251429</v>
      </c>
      <c r="Q307" t="s">
        <v>395</v>
      </c>
      <c r="R307" t="s">
        <v>403</v>
      </c>
      <c r="S307" t="s">
        <v>406</v>
      </c>
      <c r="T307">
        <v>0</v>
      </c>
      <c r="U307" t="s">
        <v>415</v>
      </c>
    </row>
    <row r="308" spans="1:21" x14ac:dyDescent="0.3">
      <c r="A308" t="s">
        <v>246</v>
      </c>
      <c r="B308" t="s">
        <v>25</v>
      </c>
      <c r="C308" t="s">
        <v>16</v>
      </c>
      <c r="D308">
        <v>0</v>
      </c>
      <c r="E308" t="s">
        <v>15</v>
      </c>
      <c r="F308" t="s">
        <v>16</v>
      </c>
      <c r="G308">
        <v>2545</v>
      </c>
      <c r="H308">
        <v>0</v>
      </c>
      <c r="I308">
        <v>74</v>
      </c>
      <c r="J308">
        <v>360</v>
      </c>
      <c r="K308">
        <v>1</v>
      </c>
      <c r="L308" t="s">
        <v>17</v>
      </c>
      <c r="M308">
        <v>2545</v>
      </c>
      <c r="N308">
        <v>212.08333333333334</v>
      </c>
      <c r="O308" s="3">
        <v>568.9959778524069</v>
      </c>
      <c r="P308" s="3">
        <v>2.6828886971429795</v>
      </c>
      <c r="Q308" t="s">
        <v>395</v>
      </c>
      <c r="R308" t="s">
        <v>403</v>
      </c>
      <c r="S308" t="s">
        <v>406</v>
      </c>
      <c r="T308">
        <v>0</v>
      </c>
      <c r="U308" t="s">
        <v>415</v>
      </c>
    </row>
    <row r="309" spans="1:21" x14ac:dyDescent="0.3">
      <c r="A309" t="s">
        <v>247</v>
      </c>
      <c r="B309" t="s">
        <v>13</v>
      </c>
      <c r="C309" t="s">
        <v>14</v>
      </c>
      <c r="D309">
        <v>0</v>
      </c>
      <c r="E309" t="s">
        <v>15</v>
      </c>
      <c r="F309" t="s">
        <v>16</v>
      </c>
      <c r="G309">
        <v>2553</v>
      </c>
      <c r="H309">
        <v>1768</v>
      </c>
      <c r="I309">
        <v>102</v>
      </c>
      <c r="J309">
        <v>360</v>
      </c>
      <c r="K309">
        <v>1</v>
      </c>
      <c r="L309" t="s">
        <v>17</v>
      </c>
      <c r="M309">
        <v>4321</v>
      </c>
      <c r="N309">
        <v>360.08333333333331</v>
      </c>
      <c r="O309" s="3">
        <v>784.29175325602023</v>
      </c>
      <c r="P309" s="3">
        <v>2.1780840173738123</v>
      </c>
      <c r="Q309" t="s">
        <v>395</v>
      </c>
      <c r="R309" t="s">
        <v>403</v>
      </c>
      <c r="S309" t="s">
        <v>404</v>
      </c>
      <c r="T309">
        <v>0</v>
      </c>
      <c r="U309" t="s">
        <v>415</v>
      </c>
    </row>
    <row r="310" spans="1:21" x14ac:dyDescent="0.3">
      <c r="A310" t="s">
        <v>253</v>
      </c>
      <c r="B310" t="s">
        <v>13</v>
      </c>
      <c r="C310" t="s">
        <v>14</v>
      </c>
      <c r="D310">
        <v>0</v>
      </c>
      <c r="E310" t="s">
        <v>15</v>
      </c>
      <c r="F310" t="s">
        <v>16</v>
      </c>
      <c r="G310">
        <v>1173</v>
      </c>
      <c r="H310">
        <v>1594</v>
      </c>
      <c r="I310">
        <v>28</v>
      </c>
      <c r="J310">
        <v>180</v>
      </c>
      <c r="K310">
        <v>1</v>
      </c>
      <c r="L310" t="s">
        <v>28</v>
      </c>
      <c r="M310">
        <v>2767</v>
      </c>
      <c r="N310">
        <v>230.58333333333334</v>
      </c>
      <c r="O310" s="3">
        <v>275.72707621916612</v>
      </c>
      <c r="P310" s="3">
        <v>1.1957805979869871</v>
      </c>
      <c r="Q310" t="s">
        <v>395</v>
      </c>
      <c r="R310" t="s">
        <v>403</v>
      </c>
      <c r="S310" t="s">
        <v>406</v>
      </c>
      <c r="T310">
        <v>0</v>
      </c>
      <c r="U310" t="s">
        <v>417</v>
      </c>
    </row>
    <row r="311" spans="1:21" x14ac:dyDescent="0.3">
      <c r="A311" t="s">
        <v>255</v>
      </c>
      <c r="B311" t="s">
        <v>25</v>
      </c>
      <c r="C311" t="s">
        <v>14</v>
      </c>
      <c r="D311">
        <v>0</v>
      </c>
      <c r="E311" t="s">
        <v>15</v>
      </c>
      <c r="F311" t="s">
        <v>16</v>
      </c>
      <c r="G311">
        <v>2157</v>
      </c>
      <c r="H311">
        <v>1788</v>
      </c>
      <c r="I311">
        <v>104</v>
      </c>
      <c r="J311">
        <v>360</v>
      </c>
      <c r="K311">
        <v>1</v>
      </c>
      <c r="L311" t="s">
        <v>17</v>
      </c>
      <c r="M311">
        <v>3945</v>
      </c>
      <c r="N311">
        <v>328.75</v>
      </c>
      <c r="O311" s="3">
        <v>799.67002292770701</v>
      </c>
      <c r="P311" s="3">
        <v>2.4324563435063333</v>
      </c>
      <c r="Q311" t="s">
        <v>395</v>
      </c>
      <c r="R311" t="s">
        <v>403</v>
      </c>
      <c r="S311" t="s">
        <v>404</v>
      </c>
      <c r="T311">
        <v>0</v>
      </c>
      <c r="U311" t="s">
        <v>415</v>
      </c>
    </row>
    <row r="312" spans="1:21" x14ac:dyDescent="0.3">
      <c r="A312" t="s">
        <v>259</v>
      </c>
      <c r="B312" t="s">
        <v>13</v>
      </c>
      <c r="C312" t="s">
        <v>14</v>
      </c>
      <c r="D312">
        <v>2</v>
      </c>
      <c r="E312" t="s">
        <v>22</v>
      </c>
      <c r="F312" t="s">
        <v>16</v>
      </c>
      <c r="G312">
        <v>2513</v>
      </c>
      <c r="H312">
        <v>1110</v>
      </c>
      <c r="I312">
        <v>107</v>
      </c>
      <c r="J312">
        <v>360</v>
      </c>
      <c r="K312">
        <v>1</v>
      </c>
      <c r="L312" t="s">
        <v>26</v>
      </c>
      <c r="M312">
        <v>3623</v>
      </c>
      <c r="N312">
        <v>301.91666666666669</v>
      </c>
      <c r="O312" s="3">
        <v>822.73742743523701</v>
      </c>
      <c r="P312" s="3">
        <v>2.7250480621647375</v>
      </c>
      <c r="Q312" t="s">
        <v>395</v>
      </c>
      <c r="R312" t="s">
        <v>403</v>
      </c>
      <c r="S312" t="s">
        <v>404</v>
      </c>
      <c r="T312">
        <v>0</v>
      </c>
      <c r="U312" t="s">
        <v>416</v>
      </c>
    </row>
    <row r="313" spans="1:21" x14ac:dyDescent="0.3">
      <c r="A313" t="s">
        <v>260</v>
      </c>
      <c r="B313" t="s">
        <v>13</v>
      </c>
      <c r="C313" t="s">
        <v>16</v>
      </c>
      <c r="D313">
        <v>0</v>
      </c>
      <c r="E313" t="s">
        <v>15</v>
      </c>
      <c r="F313" t="s">
        <v>16</v>
      </c>
      <c r="G313">
        <v>4333</v>
      </c>
      <c r="H313">
        <v>0</v>
      </c>
      <c r="I313">
        <v>66</v>
      </c>
      <c r="J313">
        <v>480</v>
      </c>
      <c r="K313">
        <v>1</v>
      </c>
      <c r="L313" t="s">
        <v>17</v>
      </c>
      <c r="M313">
        <v>4333</v>
      </c>
      <c r="N313">
        <v>361.08333333333331</v>
      </c>
      <c r="O313" s="3">
        <v>483.84208507057593</v>
      </c>
      <c r="P313" s="3">
        <v>1.3399734643080803</v>
      </c>
      <c r="Q313" t="s">
        <v>395</v>
      </c>
      <c r="R313" t="s">
        <v>403</v>
      </c>
      <c r="S313" t="s">
        <v>406</v>
      </c>
      <c r="T313">
        <v>0</v>
      </c>
      <c r="U313" t="s">
        <v>415</v>
      </c>
    </row>
    <row r="314" spans="1:21" x14ac:dyDescent="0.3">
      <c r="A314" t="s">
        <v>261</v>
      </c>
      <c r="B314" t="s">
        <v>13</v>
      </c>
      <c r="C314" t="s">
        <v>16</v>
      </c>
      <c r="D314">
        <v>0</v>
      </c>
      <c r="E314" t="s">
        <v>22</v>
      </c>
      <c r="F314" t="s">
        <v>16</v>
      </c>
      <c r="G314">
        <v>3844</v>
      </c>
      <c r="H314">
        <v>0</v>
      </c>
      <c r="I314">
        <v>105</v>
      </c>
      <c r="J314">
        <v>360</v>
      </c>
      <c r="K314">
        <v>1</v>
      </c>
      <c r="L314" t="s">
        <v>17</v>
      </c>
      <c r="M314">
        <v>3844</v>
      </c>
      <c r="N314">
        <v>320.33333333333331</v>
      </c>
      <c r="O314" s="3">
        <v>807.35915776355023</v>
      </c>
      <c r="P314" s="3">
        <v>2.5203719805313742</v>
      </c>
      <c r="Q314" t="s">
        <v>395</v>
      </c>
      <c r="R314" t="s">
        <v>403</v>
      </c>
      <c r="S314" t="s">
        <v>404</v>
      </c>
      <c r="T314">
        <v>0</v>
      </c>
      <c r="U314" t="s">
        <v>415</v>
      </c>
    </row>
    <row r="315" spans="1:21" x14ac:dyDescent="0.3">
      <c r="A315" t="s">
        <v>263</v>
      </c>
      <c r="B315" t="s">
        <v>13</v>
      </c>
      <c r="C315" t="s">
        <v>14</v>
      </c>
      <c r="D315">
        <v>0</v>
      </c>
      <c r="E315" t="s">
        <v>15</v>
      </c>
      <c r="F315" t="s">
        <v>16</v>
      </c>
      <c r="G315">
        <v>3510</v>
      </c>
      <c r="H315">
        <v>828</v>
      </c>
      <c r="I315">
        <v>105</v>
      </c>
      <c r="J315">
        <v>360</v>
      </c>
      <c r="K315">
        <v>1</v>
      </c>
      <c r="L315" t="s">
        <v>26</v>
      </c>
      <c r="M315">
        <v>4338</v>
      </c>
      <c r="N315">
        <v>361.5</v>
      </c>
      <c r="O315" s="3">
        <v>807.35915776355023</v>
      </c>
      <c r="P315" s="3">
        <v>2.2333586660125873</v>
      </c>
      <c r="Q315" t="s">
        <v>395</v>
      </c>
      <c r="R315" t="s">
        <v>403</v>
      </c>
      <c r="S315" t="s">
        <v>404</v>
      </c>
      <c r="T315">
        <v>0</v>
      </c>
      <c r="U315" t="s">
        <v>416</v>
      </c>
    </row>
    <row r="316" spans="1:21" x14ac:dyDescent="0.3">
      <c r="A316" t="s">
        <v>264</v>
      </c>
      <c r="B316" t="s">
        <v>13</v>
      </c>
      <c r="C316" t="s">
        <v>14</v>
      </c>
      <c r="D316">
        <v>0</v>
      </c>
      <c r="E316" t="s">
        <v>15</v>
      </c>
      <c r="F316" t="s">
        <v>16</v>
      </c>
      <c r="G316">
        <v>2539</v>
      </c>
      <c r="H316">
        <v>1704</v>
      </c>
      <c r="I316">
        <v>125</v>
      </c>
      <c r="J316">
        <v>360</v>
      </c>
      <c r="K316">
        <v>0</v>
      </c>
      <c r="L316" t="s">
        <v>28</v>
      </c>
      <c r="M316">
        <v>4243</v>
      </c>
      <c r="N316">
        <v>353.58333333333331</v>
      </c>
      <c r="O316" s="3">
        <v>961.14185448041712</v>
      </c>
      <c r="P316" s="3">
        <v>2.7182894776726387</v>
      </c>
      <c r="Q316" t="s">
        <v>394</v>
      </c>
      <c r="R316" t="s">
        <v>403</v>
      </c>
      <c r="S316" t="s">
        <v>404</v>
      </c>
      <c r="T316">
        <v>1</v>
      </c>
      <c r="U316" t="s">
        <v>417</v>
      </c>
    </row>
    <row r="317" spans="1:21" x14ac:dyDescent="0.3">
      <c r="A317" t="s">
        <v>265</v>
      </c>
      <c r="B317" t="s">
        <v>25</v>
      </c>
      <c r="C317" t="s">
        <v>16</v>
      </c>
      <c r="D317">
        <v>0</v>
      </c>
      <c r="E317" t="s">
        <v>22</v>
      </c>
      <c r="F317" t="s">
        <v>16</v>
      </c>
      <c r="G317">
        <v>2107</v>
      </c>
      <c r="H317">
        <v>0</v>
      </c>
      <c r="I317">
        <v>64</v>
      </c>
      <c r="J317">
        <v>360</v>
      </c>
      <c r="K317">
        <v>1</v>
      </c>
      <c r="L317" t="s">
        <v>26</v>
      </c>
      <c r="M317">
        <v>2107</v>
      </c>
      <c r="N317">
        <v>175.58333333333334</v>
      </c>
      <c r="O317" s="3">
        <v>492.1046294939735</v>
      </c>
      <c r="P317" s="3">
        <v>2.8026841736723691</v>
      </c>
      <c r="Q317" t="s">
        <v>395</v>
      </c>
      <c r="R317" t="s">
        <v>403</v>
      </c>
      <c r="S317" t="s">
        <v>406</v>
      </c>
      <c r="T317">
        <v>0</v>
      </c>
      <c r="U317" t="s">
        <v>416</v>
      </c>
    </row>
    <row r="318" spans="1:21" x14ac:dyDescent="0.3">
      <c r="A318" t="s">
        <v>269</v>
      </c>
      <c r="B318" t="s">
        <v>13</v>
      </c>
      <c r="C318" t="s">
        <v>14</v>
      </c>
      <c r="D318">
        <v>0</v>
      </c>
      <c r="E318" t="s">
        <v>22</v>
      </c>
      <c r="F318" t="s">
        <v>14</v>
      </c>
      <c r="G318">
        <v>3943</v>
      </c>
      <c r="H318">
        <v>0</v>
      </c>
      <c r="I318">
        <v>64</v>
      </c>
      <c r="J318">
        <v>360</v>
      </c>
      <c r="K318">
        <v>1</v>
      </c>
      <c r="L318" t="s">
        <v>26</v>
      </c>
      <c r="M318">
        <v>3943</v>
      </c>
      <c r="N318">
        <v>328.58333333333331</v>
      </c>
      <c r="O318" s="3">
        <v>492.1046294939735</v>
      </c>
      <c r="P318" s="3">
        <v>1.4976554790585044</v>
      </c>
      <c r="Q318" t="s">
        <v>395</v>
      </c>
      <c r="R318" t="s">
        <v>403</v>
      </c>
      <c r="S318" t="s">
        <v>406</v>
      </c>
      <c r="T318">
        <v>0</v>
      </c>
      <c r="U318" t="s">
        <v>416</v>
      </c>
    </row>
    <row r="319" spans="1:21" x14ac:dyDescent="0.3">
      <c r="A319" t="s">
        <v>270</v>
      </c>
      <c r="B319" t="s">
        <v>13</v>
      </c>
      <c r="C319" t="s">
        <v>16</v>
      </c>
      <c r="D319">
        <v>0</v>
      </c>
      <c r="E319" t="s">
        <v>15</v>
      </c>
      <c r="F319" t="s">
        <v>16</v>
      </c>
      <c r="G319">
        <v>2925</v>
      </c>
      <c r="H319">
        <v>0</v>
      </c>
      <c r="I319">
        <v>40</v>
      </c>
      <c r="J319">
        <v>180</v>
      </c>
      <c r="K319">
        <v>1</v>
      </c>
      <c r="L319" t="s">
        <v>28</v>
      </c>
      <c r="M319">
        <v>2925</v>
      </c>
      <c r="N319">
        <v>243.75</v>
      </c>
      <c r="O319" s="3">
        <v>393.89582317023729</v>
      </c>
      <c r="P319" s="3">
        <v>1.6159828642881531</v>
      </c>
      <c r="Q319" t="s">
        <v>395</v>
      </c>
      <c r="R319" t="s">
        <v>403</v>
      </c>
      <c r="S319" t="s">
        <v>406</v>
      </c>
      <c r="T319">
        <v>0</v>
      </c>
      <c r="U319" t="s">
        <v>417</v>
      </c>
    </row>
    <row r="320" spans="1:21" x14ac:dyDescent="0.3">
      <c r="A320" t="s">
        <v>271</v>
      </c>
      <c r="B320" t="s">
        <v>13</v>
      </c>
      <c r="C320" t="s">
        <v>14</v>
      </c>
      <c r="D320">
        <v>3</v>
      </c>
      <c r="E320" t="s">
        <v>15</v>
      </c>
      <c r="F320" t="s">
        <v>16</v>
      </c>
      <c r="G320">
        <v>3242</v>
      </c>
      <c r="H320">
        <v>437</v>
      </c>
      <c r="I320">
        <v>142</v>
      </c>
      <c r="J320">
        <v>480</v>
      </c>
      <c r="K320">
        <v>0</v>
      </c>
      <c r="L320" t="s">
        <v>17</v>
      </c>
      <c r="M320">
        <v>3679</v>
      </c>
      <c r="N320">
        <v>306.58333333333331</v>
      </c>
      <c r="O320" s="3">
        <v>1040.9935769700271</v>
      </c>
      <c r="P320" s="3">
        <v>3.39546695396584</v>
      </c>
      <c r="Q320" t="s">
        <v>394</v>
      </c>
      <c r="R320" t="s">
        <v>403</v>
      </c>
      <c r="S320" t="s">
        <v>404</v>
      </c>
      <c r="T320">
        <v>1</v>
      </c>
      <c r="U320" t="s">
        <v>415</v>
      </c>
    </row>
    <row r="321" spans="1:21" x14ac:dyDescent="0.3">
      <c r="A321" t="s">
        <v>272</v>
      </c>
      <c r="B321" t="s">
        <v>13</v>
      </c>
      <c r="C321" t="s">
        <v>14</v>
      </c>
      <c r="D321">
        <v>0</v>
      </c>
      <c r="E321" t="s">
        <v>15</v>
      </c>
      <c r="F321" t="s">
        <v>16</v>
      </c>
      <c r="G321">
        <v>3863</v>
      </c>
      <c r="H321">
        <v>0</v>
      </c>
      <c r="I321">
        <v>70</v>
      </c>
      <c r="J321">
        <v>300</v>
      </c>
      <c r="K321">
        <v>1</v>
      </c>
      <c r="L321" t="s">
        <v>26</v>
      </c>
      <c r="M321">
        <v>3863</v>
      </c>
      <c r="N321">
        <v>321.91666666666669</v>
      </c>
      <c r="O321" s="3">
        <v>563.65895842349187</v>
      </c>
      <c r="P321" s="3">
        <v>1.7509468032829154</v>
      </c>
      <c r="Q321" t="s">
        <v>395</v>
      </c>
      <c r="R321" t="s">
        <v>403</v>
      </c>
      <c r="S321" t="s">
        <v>406</v>
      </c>
      <c r="T321">
        <v>0</v>
      </c>
      <c r="U321" t="s">
        <v>416</v>
      </c>
    </row>
    <row r="322" spans="1:21" x14ac:dyDescent="0.3">
      <c r="A322" t="s">
        <v>273</v>
      </c>
      <c r="B322" t="s">
        <v>25</v>
      </c>
      <c r="C322" t="s">
        <v>16</v>
      </c>
      <c r="D322">
        <v>1</v>
      </c>
      <c r="E322" t="s">
        <v>15</v>
      </c>
      <c r="F322" t="s">
        <v>16</v>
      </c>
      <c r="G322">
        <v>4028</v>
      </c>
      <c r="H322">
        <v>0</v>
      </c>
      <c r="I322">
        <v>131</v>
      </c>
      <c r="J322">
        <v>360</v>
      </c>
      <c r="K322">
        <v>1</v>
      </c>
      <c r="L322" t="s">
        <v>26</v>
      </c>
      <c r="M322">
        <v>4028</v>
      </c>
      <c r="N322">
        <v>335.66666666666669</v>
      </c>
      <c r="O322" s="3">
        <v>1007.2766634954771</v>
      </c>
      <c r="P322" s="3">
        <v>3.0008242209398523</v>
      </c>
      <c r="Q322" t="s">
        <v>395</v>
      </c>
      <c r="R322" t="s">
        <v>403</v>
      </c>
      <c r="S322" t="s">
        <v>404</v>
      </c>
      <c r="T322">
        <v>0</v>
      </c>
      <c r="U322" t="s">
        <v>416</v>
      </c>
    </row>
    <row r="323" spans="1:21" x14ac:dyDescent="0.3">
      <c r="A323" t="s">
        <v>276</v>
      </c>
      <c r="B323" t="s">
        <v>13</v>
      </c>
      <c r="C323" t="s">
        <v>16</v>
      </c>
      <c r="D323">
        <v>0</v>
      </c>
      <c r="E323" t="s">
        <v>15</v>
      </c>
      <c r="F323" t="s">
        <v>16</v>
      </c>
      <c r="G323">
        <v>2858</v>
      </c>
      <c r="H323">
        <v>0</v>
      </c>
      <c r="I323">
        <v>123</v>
      </c>
      <c r="J323">
        <v>360</v>
      </c>
      <c r="K323">
        <v>0</v>
      </c>
      <c r="L323" t="s">
        <v>28</v>
      </c>
      <c r="M323">
        <v>2858</v>
      </c>
      <c r="N323">
        <v>238.16666666666666</v>
      </c>
      <c r="O323" s="3">
        <v>945.76358480873034</v>
      </c>
      <c r="P323" s="3">
        <v>3.9710157514712261</v>
      </c>
      <c r="Q323" t="s">
        <v>394</v>
      </c>
      <c r="R323" t="s">
        <v>403</v>
      </c>
      <c r="S323" t="s">
        <v>404</v>
      </c>
      <c r="T323">
        <v>1</v>
      </c>
      <c r="U323" t="s">
        <v>417</v>
      </c>
    </row>
    <row r="324" spans="1:21" x14ac:dyDescent="0.3">
      <c r="A324" t="s">
        <v>277</v>
      </c>
      <c r="B324" t="s">
        <v>25</v>
      </c>
      <c r="C324" t="s">
        <v>14</v>
      </c>
      <c r="D324">
        <v>0</v>
      </c>
      <c r="E324" t="s">
        <v>15</v>
      </c>
      <c r="F324" t="s">
        <v>16</v>
      </c>
      <c r="G324">
        <v>3833</v>
      </c>
      <c r="H324">
        <v>0</v>
      </c>
      <c r="I324">
        <v>92</v>
      </c>
      <c r="J324">
        <v>360</v>
      </c>
      <c r="K324">
        <v>1</v>
      </c>
      <c r="L324" t="s">
        <v>28</v>
      </c>
      <c r="M324">
        <v>3833</v>
      </c>
      <c r="N324">
        <v>319.41666666666669</v>
      </c>
      <c r="O324" s="3">
        <v>707.4004048975869</v>
      </c>
      <c r="P324" s="3">
        <v>2.2146634121500242</v>
      </c>
      <c r="Q324" t="s">
        <v>395</v>
      </c>
      <c r="R324" t="s">
        <v>403</v>
      </c>
      <c r="S324" t="s">
        <v>406</v>
      </c>
      <c r="T324">
        <v>0</v>
      </c>
      <c r="U324" t="s">
        <v>417</v>
      </c>
    </row>
    <row r="325" spans="1:21" x14ac:dyDescent="0.3">
      <c r="A325" t="s">
        <v>282</v>
      </c>
      <c r="B325" t="s">
        <v>13</v>
      </c>
      <c r="C325" t="s">
        <v>14</v>
      </c>
      <c r="D325">
        <v>0</v>
      </c>
      <c r="E325" t="s">
        <v>15</v>
      </c>
      <c r="F325" t="s">
        <v>16</v>
      </c>
      <c r="G325">
        <v>2982</v>
      </c>
      <c r="H325">
        <v>1550</v>
      </c>
      <c r="I325">
        <v>110</v>
      </c>
      <c r="J325">
        <v>360</v>
      </c>
      <c r="K325">
        <v>1</v>
      </c>
      <c r="L325" t="s">
        <v>26</v>
      </c>
      <c r="M325">
        <v>4532</v>
      </c>
      <c r="N325">
        <v>377.66666666666669</v>
      </c>
      <c r="O325" s="3">
        <v>845.80483194276701</v>
      </c>
      <c r="P325" s="3">
        <v>2.2395538356825249</v>
      </c>
      <c r="Q325" t="s">
        <v>395</v>
      </c>
      <c r="R325" t="s">
        <v>403</v>
      </c>
      <c r="S325" t="s">
        <v>404</v>
      </c>
      <c r="T325">
        <v>0</v>
      </c>
      <c r="U325" t="s">
        <v>416</v>
      </c>
    </row>
    <row r="326" spans="1:21" x14ac:dyDescent="0.3">
      <c r="A326" t="s">
        <v>283</v>
      </c>
      <c r="B326" t="s">
        <v>13</v>
      </c>
      <c r="C326" t="s">
        <v>16</v>
      </c>
      <c r="D326">
        <v>0</v>
      </c>
      <c r="E326" t="s">
        <v>15</v>
      </c>
      <c r="F326" t="s">
        <v>16</v>
      </c>
      <c r="G326">
        <v>3417</v>
      </c>
      <c r="H326">
        <v>738</v>
      </c>
      <c r="I326">
        <v>100</v>
      </c>
      <c r="J326">
        <v>360</v>
      </c>
      <c r="K326">
        <v>0</v>
      </c>
      <c r="L326" t="s">
        <v>28</v>
      </c>
      <c r="M326">
        <v>4155</v>
      </c>
      <c r="N326">
        <v>346.25</v>
      </c>
      <c r="O326" s="3">
        <v>768.91348358433368</v>
      </c>
      <c r="P326" s="3">
        <v>2.2206887612543933</v>
      </c>
      <c r="Q326" t="s">
        <v>394</v>
      </c>
      <c r="R326" t="s">
        <v>403</v>
      </c>
      <c r="S326" t="s">
        <v>404</v>
      </c>
      <c r="T326">
        <v>1</v>
      </c>
      <c r="U326" t="s">
        <v>417</v>
      </c>
    </row>
    <row r="327" spans="1:21" x14ac:dyDescent="0.3">
      <c r="A327" t="s">
        <v>285</v>
      </c>
      <c r="B327" t="s">
        <v>13</v>
      </c>
      <c r="C327" t="s">
        <v>14</v>
      </c>
      <c r="D327">
        <v>2</v>
      </c>
      <c r="E327" t="s">
        <v>15</v>
      </c>
      <c r="F327" t="s">
        <v>16</v>
      </c>
      <c r="G327">
        <v>2995</v>
      </c>
      <c r="H327">
        <v>1120</v>
      </c>
      <c r="I327">
        <v>184</v>
      </c>
      <c r="J327">
        <v>360</v>
      </c>
      <c r="K327">
        <v>1</v>
      </c>
      <c r="L327" t="s">
        <v>28</v>
      </c>
      <c r="M327">
        <v>4115</v>
      </c>
      <c r="N327">
        <v>342.91666666666669</v>
      </c>
      <c r="O327" s="3">
        <v>1414.8008097951738</v>
      </c>
      <c r="P327" s="3">
        <v>4.1257860795971046</v>
      </c>
      <c r="Q327" t="s">
        <v>395</v>
      </c>
      <c r="R327" t="s">
        <v>403</v>
      </c>
      <c r="S327" t="s">
        <v>404</v>
      </c>
      <c r="T327">
        <v>0</v>
      </c>
      <c r="U327" t="s">
        <v>417</v>
      </c>
    </row>
    <row r="328" spans="1:21" x14ac:dyDescent="0.3">
      <c r="A328" t="s">
        <v>290</v>
      </c>
      <c r="B328" t="s">
        <v>13</v>
      </c>
      <c r="C328" t="s">
        <v>16</v>
      </c>
      <c r="D328">
        <v>0</v>
      </c>
      <c r="E328" t="s">
        <v>15</v>
      </c>
      <c r="F328" t="s">
        <v>16</v>
      </c>
      <c r="G328">
        <v>3508</v>
      </c>
      <c r="H328">
        <v>0</v>
      </c>
      <c r="I328">
        <v>99</v>
      </c>
      <c r="J328">
        <v>360</v>
      </c>
      <c r="K328">
        <v>1</v>
      </c>
      <c r="L328" t="s">
        <v>28</v>
      </c>
      <c r="M328">
        <v>3508</v>
      </c>
      <c r="N328">
        <v>292.33333333333331</v>
      </c>
      <c r="O328" s="3">
        <v>761.22434874849023</v>
      </c>
      <c r="P328" s="3">
        <v>2.6039601439515061</v>
      </c>
      <c r="Q328" t="s">
        <v>395</v>
      </c>
      <c r="R328" t="s">
        <v>403</v>
      </c>
      <c r="S328" t="s">
        <v>406</v>
      </c>
      <c r="T328">
        <v>0</v>
      </c>
      <c r="U328" t="s">
        <v>417</v>
      </c>
    </row>
    <row r="329" spans="1:21" x14ac:dyDescent="0.3">
      <c r="A329" t="s">
        <v>291</v>
      </c>
      <c r="B329" t="s">
        <v>25</v>
      </c>
      <c r="C329" t="s">
        <v>14</v>
      </c>
      <c r="D329">
        <v>3</v>
      </c>
      <c r="E329" t="s">
        <v>22</v>
      </c>
      <c r="F329" t="s">
        <v>16</v>
      </c>
      <c r="G329">
        <v>1635</v>
      </c>
      <c r="H329">
        <v>2444</v>
      </c>
      <c r="I329">
        <v>99</v>
      </c>
      <c r="J329">
        <v>360</v>
      </c>
      <c r="K329">
        <v>1</v>
      </c>
      <c r="L329" t="s">
        <v>17</v>
      </c>
      <c r="M329">
        <v>4079</v>
      </c>
      <c r="N329">
        <v>339.91666666666669</v>
      </c>
      <c r="O329" s="3">
        <v>761.22434874849023</v>
      </c>
      <c r="P329" s="3">
        <v>2.239444026717794</v>
      </c>
      <c r="Q329" t="s">
        <v>395</v>
      </c>
      <c r="R329" t="s">
        <v>403</v>
      </c>
      <c r="S329" t="s">
        <v>406</v>
      </c>
      <c r="T329">
        <v>0</v>
      </c>
      <c r="U329" t="s">
        <v>415</v>
      </c>
    </row>
    <row r="330" spans="1:21" x14ac:dyDescent="0.3">
      <c r="A330" t="s">
        <v>295</v>
      </c>
      <c r="B330" t="s">
        <v>25</v>
      </c>
      <c r="C330" t="s">
        <v>16</v>
      </c>
      <c r="D330">
        <v>0</v>
      </c>
      <c r="E330" t="s">
        <v>15</v>
      </c>
      <c r="F330" t="s">
        <v>16</v>
      </c>
      <c r="G330">
        <v>3500</v>
      </c>
      <c r="H330">
        <v>0</v>
      </c>
      <c r="I330">
        <v>94</v>
      </c>
      <c r="J330">
        <v>360</v>
      </c>
      <c r="K330">
        <v>0</v>
      </c>
      <c r="L330" t="s">
        <v>26</v>
      </c>
      <c r="M330">
        <v>3500</v>
      </c>
      <c r="N330">
        <v>291.66666666666669</v>
      </c>
      <c r="O330" s="3">
        <v>722.77867456927368</v>
      </c>
      <c r="P330" s="3">
        <v>2.478098312808938</v>
      </c>
      <c r="Q330" t="s">
        <v>394</v>
      </c>
      <c r="R330" t="s">
        <v>403</v>
      </c>
      <c r="S330" t="s">
        <v>406</v>
      </c>
      <c r="T330">
        <v>1</v>
      </c>
      <c r="U330" t="s">
        <v>416</v>
      </c>
    </row>
    <row r="331" spans="1:21" x14ac:dyDescent="0.3">
      <c r="A331" t="s">
        <v>296</v>
      </c>
      <c r="B331" t="s">
        <v>13</v>
      </c>
      <c r="C331" t="s">
        <v>14</v>
      </c>
      <c r="D331">
        <v>3</v>
      </c>
      <c r="E331" t="s">
        <v>15</v>
      </c>
      <c r="F331" t="s">
        <v>16</v>
      </c>
      <c r="G331">
        <v>2773</v>
      </c>
      <c r="H331">
        <v>1497</v>
      </c>
      <c r="I331">
        <v>108</v>
      </c>
      <c r="J331">
        <v>360</v>
      </c>
      <c r="K331">
        <v>1</v>
      </c>
      <c r="L331" t="s">
        <v>26</v>
      </c>
      <c r="M331">
        <v>4270</v>
      </c>
      <c r="N331">
        <v>355.83333333333331</v>
      </c>
      <c r="O331" s="3">
        <v>830.42656227108023</v>
      </c>
      <c r="P331" s="3">
        <v>2.3337514630568998</v>
      </c>
      <c r="Q331" t="s">
        <v>395</v>
      </c>
      <c r="R331" t="s">
        <v>403</v>
      </c>
      <c r="S331" t="s">
        <v>404</v>
      </c>
      <c r="T331">
        <v>0</v>
      </c>
      <c r="U331" t="s">
        <v>416</v>
      </c>
    </row>
    <row r="332" spans="1:21" x14ac:dyDescent="0.3">
      <c r="A332" t="s">
        <v>299</v>
      </c>
      <c r="B332" t="s">
        <v>13</v>
      </c>
      <c r="C332" t="s">
        <v>14</v>
      </c>
      <c r="D332">
        <v>3</v>
      </c>
      <c r="E332" t="s">
        <v>22</v>
      </c>
      <c r="F332" t="s">
        <v>16</v>
      </c>
      <c r="G332">
        <v>3634</v>
      </c>
      <c r="H332">
        <v>910</v>
      </c>
      <c r="I332">
        <v>176</v>
      </c>
      <c r="J332">
        <v>360</v>
      </c>
      <c r="K332">
        <v>0</v>
      </c>
      <c r="L332" t="s">
        <v>26</v>
      </c>
      <c r="M332">
        <v>4544</v>
      </c>
      <c r="N332">
        <v>378.66666666666669</v>
      </c>
      <c r="O332" s="3">
        <v>1353.2877311084274</v>
      </c>
      <c r="P332" s="3">
        <v>3.5738232335609874</v>
      </c>
      <c r="Q332" t="s">
        <v>394</v>
      </c>
      <c r="R332" t="s">
        <v>403</v>
      </c>
      <c r="S332" t="s">
        <v>404</v>
      </c>
      <c r="T332">
        <v>1</v>
      </c>
      <c r="U332" t="s">
        <v>416</v>
      </c>
    </row>
    <row r="333" spans="1:21" x14ac:dyDescent="0.3">
      <c r="A333" t="s">
        <v>301</v>
      </c>
      <c r="B333" t="s">
        <v>13</v>
      </c>
      <c r="C333" t="s">
        <v>16</v>
      </c>
      <c r="D333">
        <v>0</v>
      </c>
      <c r="E333" t="s">
        <v>15</v>
      </c>
      <c r="F333" t="s">
        <v>16</v>
      </c>
      <c r="G333">
        <v>2166</v>
      </c>
      <c r="H333">
        <v>2057</v>
      </c>
      <c r="I333">
        <v>122</v>
      </c>
      <c r="J333">
        <v>360</v>
      </c>
      <c r="K333">
        <v>1</v>
      </c>
      <c r="L333" t="s">
        <v>26</v>
      </c>
      <c r="M333">
        <v>4223</v>
      </c>
      <c r="N333">
        <v>351.91666666666669</v>
      </c>
      <c r="O333" s="3">
        <v>938.07444997288701</v>
      </c>
      <c r="P333" s="3">
        <v>2.6656152971050542</v>
      </c>
      <c r="Q333" t="s">
        <v>395</v>
      </c>
      <c r="R333" t="s">
        <v>403</v>
      </c>
      <c r="S333" t="s">
        <v>404</v>
      </c>
      <c r="T333">
        <v>0</v>
      </c>
      <c r="U333" t="s">
        <v>416</v>
      </c>
    </row>
    <row r="334" spans="1:21" x14ac:dyDescent="0.3">
      <c r="A334" t="s">
        <v>307</v>
      </c>
      <c r="B334" t="s">
        <v>13</v>
      </c>
      <c r="C334" t="s">
        <v>14</v>
      </c>
      <c r="D334">
        <v>0</v>
      </c>
      <c r="E334" t="s">
        <v>22</v>
      </c>
      <c r="F334" t="s">
        <v>16</v>
      </c>
      <c r="G334">
        <v>2157</v>
      </c>
      <c r="H334">
        <v>2730</v>
      </c>
      <c r="I334">
        <v>140</v>
      </c>
      <c r="J334">
        <v>360</v>
      </c>
      <c r="K334">
        <v>0</v>
      </c>
      <c r="L334" t="s">
        <v>28</v>
      </c>
      <c r="M334">
        <v>4887</v>
      </c>
      <c r="N334">
        <v>407.25</v>
      </c>
      <c r="O334" s="3">
        <v>1076.4788770180671</v>
      </c>
      <c r="P334" s="3">
        <v>2.6432876047098026</v>
      </c>
      <c r="Q334" t="s">
        <v>394</v>
      </c>
      <c r="R334" t="s">
        <v>403</v>
      </c>
      <c r="S334" t="s">
        <v>404</v>
      </c>
      <c r="T334">
        <v>1</v>
      </c>
      <c r="U334" t="s">
        <v>417</v>
      </c>
    </row>
    <row r="335" spans="1:21" x14ac:dyDescent="0.3">
      <c r="A335" t="s">
        <v>309</v>
      </c>
      <c r="B335" t="s">
        <v>13</v>
      </c>
      <c r="C335" t="s">
        <v>16</v>
      </c>
      <c r="D335">
        <v>0</v>
      </c>
      <c r="E335" t="s">
        <v>15</v>
      </c>
      <c r="F335" t="s">
        <v>16</v>
      </c>
      <c r="G335">
        <v>4983</v>
      </c>
      <c r="H335">
        <v>0</v>
      </c>
      <c r="I335">
        <v>141</v>
      </c>
      <c r="J335">
        <v>360</v>
      </c>
      <c r="K335">
        <v>1</v>
      </c>
      <c r="L335" t="s">
        <v>17</v>
      </c>
      <c r="M335">
        <v>4983</v>
      </c>
      <c r="N335">
        <v>415.25</v>
      </c>
      <c r="O335" s="3">
        <v>1084.1680118539102</v>
      </c>
      <c r="P335" s="3">
        <v>2.6108802212014695</v>
      </c>
      <c r="Q335" t="s">
        <v>395</v>
      </c>
      <c r="R335" t="s">
        <v>403</v>
      </c>
      <c r="S335" t="s">
        <v>404</v>
      </c>
      <c r="T335">
        <v>0</v>
      </c>
      <c r="U335" t="s">
        <v>415</v>
      </c>
    </row>
    <row r="336" spans="1:21" x14ac:dyDescent="0.3">
      <c r="A336" t="s">
        <v>313</v>
      </c>
      <c r="B336" t="s">
        <v>13</v>
      </c>
      <c r="C336" t="s">
        <v>16</v>
      </c>
      <c r="D336">
        <v>0</v>
      </c>
      <c r="E336" t="s">
        <v>22</v>
      </c>
      <c r="F336" t="s">
        <v>16</v>
      </c>
      <c r="G336">
        <v>3271</v>
      </c>
      <c r="H336">
        <v>0</v>
      </c>
      <c r="I336">
        <v>90</v>
      </c>
      <c r="J336">
        <v>360</v>
      </c>
      <c r="K336">
        <v>1</v>
      </c>
      <c r="L336" t="s">
        <v>28</v>
      </c>
      <c r="M336">
        <v>3271</v>
      </c>
      <c r="N336">
        <v>272.58333333333331</v>
      </c>
      <c r="O336" s="3">
        <v>692.02213522590023</v>
      </c>
      <c r="P336" s="3">
        <v>2.5387543939806796</v>
      </c>
      <c r="Q336" t="s">
        <v>395</v>
      </c>
      <c r="R336" t="s">
        <v>403</v>
      </c>
      <c r="S336" t="s">
        <v>406</v>
      </c>
      <c r="T336">
        <v>0</v>
      </c>
      <c r="U336" t="s">
        <v>417</v>
      </c>
    </row>
    <row r="337" spans="1:21" x14ac:dyDescent="0.3">
      <c r="A337" t="s">
        <v>314</v>
      </c>
      <c r="B337" t="s">
        <v>25</v>
      </c>
      <c r="C337" t="s">
        <v>14</v>
      </c>
      <c r="D337">
        <v>0</v>
      </c>
      <c r="E337" t="s">
        <v>15</v>
      </c>
      <c r="F337" t="s">
        <v>16</v>
      </c>
      <c r="G337">
        <v>2241</v>
      </c>
      <c r="H337">
        <v>2000</v>
      </c>
      <c r="I337">
        <v>88</v>
      </c>
      <c r="J337">
        <v>360</v>
      </c>
      <c r="K337">
        <v>0</v>
      </c>
      <c r="L337" t="s">
        <v>17</v>
      </c>
      <c r="M337">
        <v>4241</v>
      </c>
      <c r="N337">
        <v>353.41666666666669</v>
      </c>
      <c r="O337" s="3">
        <v>676.64386555421368</v>
      </c>
      <c r="P337" s="3">
        <v>1.9145782566966667</v>
      </c>
      <c r="Q337" t="s">
        <v>394</v>
      </c>
      <c r="R337" t="s">
        <v>403</v>
      </c>
      <c r="S337" t="s">
        <v>406</v>
      </c>
      <c r="T337">
        <v>1</v>
      </c>
      <c r="U337" t="s">
        <v>415</v>
      </c>
    </row>
    <row r="338" spans="1:21" x14ac:dyDescent="0.3">
      <c r="A338" t="s">
        <v>315</v>
      </c>
      <c r="B338" t="s">
        <v>13</v>
      </c>
      <c r="C338" t="s">
        <v>14</v>
      </c>
      <c r="D338">
        <v>1</v>
      </c>
      <c r="E338" t="s">
        <v>22</v>
      </c>
      <c r="F338" t="s">
        <v>16</v>
      </c>
      <c r="G338">
        <v>1792</v>
      </c>
      <c r="H338">
        <v>2565</v>
      </c>
      <c r="I338">
        <v>128</v>
      </c>
      <c r="J338">
        <v>360</v>
      </c>
      <c r="K338">
        <v>1</v>
      </c>
      <c r="L338" t="s">
        <v>17</v>
      </c>
      <c r="M338">
        <v>4357</v>
      </c>
      <c r="N338">
        <v>363.08333333333331</v>
      </c>
      <c r="O338" s="3">
        <v>984.20925898794701</v>
      </c>
      <c r="P338" s="3">
        <v>2.7106979820645778</v>
      </c>
      <c r="Q338" t="s">
        <v>395</v>
      </c>
      <c r="R338" t="s">
        <v>403</v>
      </c>
      <c r="S338" t="s">
        <v>404</v>
      </c>
      <c r="T338">
        <v>0</v>
      </c>
      <c r="U338" t="s">
        <v>415</v>
      </c>
    </row>
    <row r="339" spans="1:21" x14ac:dyDescent="0.3">
      <c r="A339" t="s">
        <v>316</v>
      </c>
      <c r="B339" t="s">
        <v>25</v>
      </c>
      <c r="C339" t="s">
        <v>14</v>
      </c>
      <c r="D339">
        <v>0</v>
      </c>
      <c r="E339" t="s">
        <v>15</v>
      </c>
      <c r="F339" t="s">
        <v>16</v>
      </c>
      <c r="G339">
        <v>2666</v>
      </c>
      <c r="H339">
        <v>0</v>
      </c>
      <c r="I339">
        <v>84</v>
      </c>
      <c r="J339">
        <v>480</v>
      </c>
      <c r="K339">
        <v>1</v>
      </c>
      <c r="L339" t="s">
        <v>26</v>
      </c>
      <c r="M339">
        <v>2666</v>
      </c>
      <c r="N339">
        <v>222.16666666666666</v>
      </c>
      <c r="O339" s="3">
        <v>615.79901736255124</v>
      </c>
      <c r="P339" s="3">
        <v>2.7717885252627963</v>
      </c>
      <c r="Q339" t="s">
        <v>395</v>
      </c>
      <c r="R339" t="s">
        <v>403</v>
      </c>
      <c r="S339" t="s">
        <v>406</v>
      </c>
      <c r="T339">
        <v>0</v>
      </c>
      <c r="U339" t="s">
        <v>416</v>
      </c>
    </row>
    <row r="340" spans="1:21" x14ac:dyDescent="0.3">
      <c r="A340" t="s">
        <v>318</v>
      </c>
      <c r="B340" t="s">
        <v>13</v>
      </c>
      <c r="C340" t="s">
        <v>16</v>
      </c>
      <c r="D340">
        <v>0</v>
      </c>
      <c r="E340" t="s">
        <v>22</v>
      </c>
      <c r="F340" t="s">
        <v>16</v>
      </c>
      <c r="G340">
        <v>3808</v>
      </c>
      <c r="H340">
        <v>0</v>
      </c>
      <c r="I340">
        <v>83</v>
      </c>
      <c r="J340">
        <v>360</v>
      </c>
      <c r="K340">
        <v>1</v>
      </c>
      <c r="L340" t="s">
        <v>28</v>
      </c>
      <c r="M340">
        <v>3808</v>
      </c>
      <c r="N340">
        <v>317.33333333333331</v>
      </c>
      <c r="O340" s="3">
        <v>638.1981913749969</v>
      </c>
      <c r="P340" s="3">
        <v>2.0111287543329737</v>
      </c>
      <c r="Q340" t="s">
        <v>395</v>
      </c>
      <c r="R340" t="s">
        <v>403</v>
      </c>
      <c r="S340" t="s">
        <v>406</v>
      </c>
      <c r="T340">
        <v>0</v>
      </c>
      <c r="U340" t="s">
        <v>417</v>
      </c>
    </row>
    <row r="341" spans="1:21" x14ac:dyDescent="0.3">
      <c r="A341" t="s">
        <v>319</v>
      </c>
      <c r="B341" t="s">
        <v>25</v>
      </c>
      <c r="C341" t="s">
        <v>14</v>
      </c>
      <c r="D341">
        <v>2</v>
      </c>
      <c r="E341" t="s">
        <v>22</v>
      </c>
      <c r="F341" t="s">
        <v>16</v>
      </c>
      <c r="G341">
        <v>3729</v>
      </c>
      <c r="H341">
        <v>0</v>
      </c>
      <c r="I341">
        <v>117</v>
      </c>
      <c r="J341">
        <v>360</v>
      </c>
      <c r="K341">
        <v>1</v>
      </c>
      <c r="L341" t="s">
        <v>26</v>
      </c>
      <c r="M341">
        <v>3729</v>
      </c>
      <c r="N341">
        <v>310.75</v>
      </c>
      <c r="O341" s="3">
        <v>899.62877579367034</v>
      </c>
      <c r="P341" s="3">
        <v>2.8950242181614492</v>
      </c>
      <c r="Q341" t="s">
        <v>395</v>
      </c>
      <c r="R341" t="s">
        <v>403</v>
      </c>
      <c r="S341" t="s">
        <v>404</v>
      </c>
      <c r="T341">
        <v>0</v>
      </c>
      <c r="U341" t="s">
        <v>416</v>
      </c>
    </row>
    <row r="342" spans="1:21" x14ac:dyDescent="0.3">
      <c r="A342" t="s">
        <v>320</v>
      </c>
      <c r="B342" t="s">
        <v>13</v>
      </c>
      <c r="C342" t="s">
        <v>14</v>
      </c>
      <c r="D342">
        <v>2</v>
      </c>
      <c r="E342" t="s">
        <v>15</v>
      </c>
      <c r="F342" t="s">
        <v>16</v>
      </c>
      <c r="G342">
        <v>4120</v>
      </c>
      <c r="H342">
        <v>0</v>
      </c>
      <c r="I342">
        <v>128</v>
      </c>
      <c r="J342">
        <v>360</v>
      </c>
      <c r="K342">
        <v>1</v>
      </c>
      <c r="L342" t="s">
        <v>28</v>
      </c>
      <c r="M342">
        <v>4120</v>
      </c>
      <c r="N342">
        <v>343.33333333333331</v>
      </c>
      <c r="O342" s="3">
        <v>984.20925898794701</v>
      </c>
      <c r="P342" s="3">
        <v>2.8666289096736324</v>
      </c>
      <c r="Q342" t="s">
        <v>395</v>
      </c>
      <c r="R342" t="s">
        <v>403</v>
      </c>
      <c r="S342" t="s">
        <v>404</v>
      </c>
      <c r="T342">
        <v>0</v>
      </c>
      <c r="U342" t="s">
        <v>417</v>
      </c>
    </row>
    <row r="343" spans="1:21" x14ac:dyDescent="0.3">
      <c r="A343" t="s">
        <v>324</v>
      </c>
      <c r="B343" t="s">
        <v>13</v>
      </c>
      <c r="C343" t="s">
        <v>14</v>
      </c>
      <c r="D343">
        <v>1</v>
      </c>
      <c r="E343" t="s">
        <v>22</v>
      </c>
      <c r="F343" t="s">
        <v>14</v>
      </c>
      <c r="G343">
        <v>570</v>
      </c>
      <c r="H343">
        <v>2125</v>
      </c>
      <c r="I343">
        <v>68</v>
      </c>
      <c r="J343">
        <v>360</v>
      </c>
      <c r="K343">
        <v>1</v>
      </c>
      <c r="L343" t="s">
        <v>28</v>
      </c>
      <c r="M343">
        <v>2695</v>
      </c>
      <c r="N343">
        <v>224.58333333333334</v>
      </c>
      <c r="O343" s="3">
        <v>522.8611688373469</v>
      </c>
      <c r="P343" s="3">
        <v>2.3281387851755704</v>
      </c>
      <c r="Q343" t="s">
        <v>395</v>
      </c>
      <c r="R343" t="s">
        <v>403</v>
      </c>
      <c r="S343" t="s">
        <v>406</v>
      </c>
      <c r="T343">
        <v>0</v>
      </c>
      <c r="U343" t="s">
        <v>417</v>
      </c>
    </row>
    <row r="344" spans="1:21" x14ac:dyDescent="0.3">
      <c r="A344" t="s">
        <v>325</v>
      </c>
      <c r="B344" t="s">
        <v>13</v>
      </c>
      <c r="C344" t="s">
        <v>14</v>
      </c>
      <c r="D344">
        <v>0</v>
      </c>
      <c r="E344" t="s">
        <v>15</v>
      </c>
      <c r="F344" t="s">
        <v>16</v>
      </c>
      <c r="G344">
        <v>2600</v>
      </c>
      <c r="H344">
        <v>700</v>
      </c>
      <c r="I344">
        <v>96</v>
      </c>
      <c r="J344">
        <v>360</v>
      </c>
      <c r="K344">
        <v>1</v>
      </c>
      <c r="L344" t="s">
        <v>26</v>
      </c>
      <c r="M344">
        <v>3300</v>
      </c>
      <c r="N344">
        <v>275</v>
      </c>
      <c r="O344" s="3">
        <v>738.15694424096023</v>
      </c>
      <c r="P344" s="3">
        <v>2.6842070699671283</v>
      </c>
      <c r="Q344" t="s">
        <v>395</v>
      </c>
      <c r="R344" t="s">
        <v>403</v>
      </c>
      <c r="S344" t="s">
        <v>406</v>
      </c>
      <c r="T344">
        <v>0</v>
      </c>
      <c r="U344" t="s">
        <v>416</v>
      </c>
    </row>
    <row r="345" spans="1:21" x14ac:dyDescent="0.3">
      <c r="A345" t="s">
        <v>326</v>
      </c>
      <c r="B345" t="s">
        <v>13</v>
      </c>
      <c r="C345" t="s">
        <v>16</v>
      </c>
      <c r="D345">
        <v>2</v>
      </c>
      <c r="E345" t="s">
        <v>22</v>
      </c>
      <c r="F345" t="s">
        <v>16</v>
      </c>
      <c r="G345">
        <v>2733</v>
      </c>
      <c r="H345">
        <v>1083</v>
      </c>
      <c r="I345">
        <v>180</v>
      </c>
      <c r="J345">
        <v>360</v>
      </c>
      <c r="K345">
        <v>0</v>
      </c>
      <c r="L345" t="s">
        <v>26</v>
      </c>
      <c r="M345">
        <v>3816</v>
      </c>
      <c r="N345">
        <v>318</v>
      </c>
      <c r="O345" s="3">
        <v>1384.0442704518005</v>
      </c>
      <c r="P345" s="3">
        <v>4.3523404731188693</v>
      </c>
      <c r="Q345" t="s">
        <v>394</v>
      </c>
      <c r="R345" t="s">
        <v>403</v>
      </c>
      <c r="S345" t="s">
        <v>404</v>
      </c>
      <c r="T345">
        <v>1</v>
      </c>
      <c r="U345" t="s">
        <v>416</v>
      </c>
    </row>
    <row r="346" spans="1:21" x14ac:dyDescent="0.3">
      <c r="A346" t="s">
        <v>328</v>
      </c>
      <c r="B346" t="s">
        <v>13</v>
      </c>
      <c r="C346" t="s">
        <v>14</v>
      </c>
      <c r="D346">
        <v>2</v>
      </c>
      <c r="E346" t="s">
        <v>22</v>
      </c>
      <c r="F346" t="s">
        <v>16</v>
      </c>
      <c r="G346">
        <v>3859</v>
      </c>
      <c r="H346">
        <v>0</v>
      </c>
      <c r="I346">
        <v>121</v>
      </c>
      <c r="J346">
        <v>360</v>
      </c>
      <c r="K346">
        <v>1</v>
      </c>
      <c r="L346" t="s">
        <v>28</v>
      </c>
      <c r="M346">
        <v>3859</v>
      </c>
      <c r="N346">
        <v>321.58333333333331</v>
      </c>
      <c r="O346" s="3">
        <v>930.38531513704368</v>
      </c>
      <c r="P346" s="3">
        <v>2.8931390986381249</v>
      </c>
      <c r="Q346" t="s">
        <v>395</v>
      </c>
      <c r="R346" t="s">
        <v>403</v>
      </c>
      <c r="S346" t="s">
        <v>404</v>
      </c>
      <c r="T346">
        <v>0</v>
      </c>
      <c r="U346" t="s">
        <v>417</v>
      </c>
    </row>
    <row r="347" spans="1:21" x14ac:dyDescent="0.3">
      <c r="A347" t="s">
        <v>333</v>
      </c>
      <c r="B347" t="s">
        <v>13</v>
      </c>
      <c r="C347" t="s">
        <v>16</v>
      </c>
      <c r="D347">
        <v>0</v>
      </c>
      <c r="E347" t="s">
        <v>15</v>
      </c>
      <c r="F347" t="s">
        <v>16</v>
      </c>
      <c r="G347">
        <v>2066</v>
      </c>
      <c r="H347">
        <v>2108</v>
      </c>
      <c r="I347">
        <v>104</v>
      </c>
      <c r="J347">
        <v>84</v>
      </c>
      <c r="K347">
        <v>1</v>
      </c>
      <c r="L347" t="s">
        <v>17</v>
      </c>
      <c r="M347">
        <v>4174</v>
      </c>
      <c r="N347">
        <v>347.83333333333331</v>
      </c>
      <c r="O347" s="3">
        <v>1646.9944854626324</v>
      </c>
      <c r="P347" s="3">
        <v>4.7350104996529927</v>
      </c>
      <c r="Q347" t="s">
        <v>395</v>
      </c>
      <c r="R347" t="s">
        <v>403</v>
      </c>
      <c r="S347" t="s">
        <v>404</v>
      </c>
      <c r="T347">
        <v>0</v>
      </c>
      <c r="U347" t="s">
        <v>415</v>
      </c>
    </row>
    <row r="348" spans="1:21" x14ac:dyDescent="0.3">
      <c r="A348" t="s">
        <v>335</v>
      </c>
      <c r="B348" t="s">
        <v>25</v>
      </c>
      <c r="C348" t="s">
        <v>16</v>
      </c>
      <c r="D348">
        <v>0</v>
      </c>
      <c r="E348" t="s">
        <v>15</v>
      </c>
      <c r="F348" t="s">
        <v>16</v>
      </c>
      <c r="G348">
        <v>3767</v>
      </c>
      <c r="H348">
        <v>0</v>
      </c>
      <c r="I348">
        <v>134</v>
      </c>
      <c r="J348">
        <v>300</v>
      </c>
      <c r="K348">
        <v>1</v>
      </c>
      <c r="L348" t="s">
        <v>17</v>
      </c>
      <c r="M348">
        <v>3767</v>
      </c>
      <c r="N348">
        <v>313.91666666666669</v>
      </c>
      <c r="O348" s="3">
        <v>1079.0042918392558</v>
      </c>
      <c r="P348" s="3">
        <v>3.4372316172208834</v>
      </c>
      <c r="Q348" t="s">
        <v>395</v>
      </c>
      <c r="R348" t="s">
        <v>403</v>
      </c>
      <c r="S348" t="s">
        <v>404</v>
      </c>
      <c r="T348">
        <v>0</v>
      </c>
      <c r="U348" t="s">
        <v>415</v>
      </c>
    </row>
    <row r="349" spans="1:21" x14ac:dyDescent="0.3">
      <c r="A349" t="s">
        <v>337</v>
      </c>
      <c r="B349" t="s">
        <v>25</v>
      </c>
      <c r="C349" t="s">
        <v>14</v>
      </c>
      <c r="D349">
        <v>0</v>
      </c>
      <c r="E349" t="s">
        <v>15</v>
      </c>
      <c r="F349" t="s">
        <v>16</v>
      </c>
      <c r="G349">
        <v>4283</v>
      </c>
      <c r="H349">
        <v>0</v>
      </c>
      <c r="I349">
        <v>120</v>
      </c>
      <c r="J349">
        <v>360</v>
      </c>
      <c r="K349">
        <v>1</v>
      </c>
      <c r="L349" t="s">
        <v>28</v>
      </c>
      <c r="M349">
        <v>4283</v>
      </c>
      <c r="N349">
        <v>356.91666666666669</v>
      </c>
      <c r="O349" s="3">
        <v>922.69618030120034</v>
      </c>
      <c r="P349" s="3">
        <v>2.5851865896834938</v>
      </c>
      <c r="Q349" t="s">
        <v>395</v>
      </c>
      <c r="R349" t="s">
        <v>403</v>
      </c>
      <c r="S349" t="s">
        <v>404</v>
      </c>
      <c r="T349">
        <v>0</v>
      </c>
      <c r="U349" t="s">
        <v>417</v>
      </c>
    </row>
    <row r="350" spans="1:21" x14ac:dyDescent="0.3">
      <c r="A350" t="s">
        <v>338</v>
      </c>
      <c r="B350" t="s">
        <v>13</v>
      </c>
      <c r="C350" t="s">
        <v>14</v>
      </c>
      <c r="D350">
        <v>0</v>
      </c>
      <c r="E350" t="s">
        <v>22</v>
      </c>
      <c r="F350" t="s">
        <v>16</v>
      </c>
      <c r="G350">
        <v>1700</v>
      </c>
      <c r="H350">
        <v>2900</v>
      </c>
      <c r="I350">
        <v>67</v>
      </c>
      <c r="J350">
        <v>360</v>
      </c>
      <c r="K350">
        <v>0</v>
      </c>
      <c r="L350" t="s">
        <v>17</v>
      </c>
      <c r="M350">
        <v>4600</v>
      </c>
      <c r="N350">
        <v>383.33333333333331</v>
      </c>
      <c r="O350" s="3">
        <v>515.17203400150356</v>
      </c>
      <c r="P350" s="3">
        <v>1.3439270452213137</v>
      </c>
      <c r="Q350" t="s">
        <v>394</v>
      </c>
      <c r="R350" t="s">
        <v>403</v>
      </c>
      <c r="S350" t="s">
        <v>406</v>
      </c>
      <c r="T350">
        <v>1</v>
      </c>
      <c r="U350" t="s">
        <v>415</v>
      </c>
    </row>
    <row r="351" spans="1:21" x14ac:dyDescent="0.3">
      <c r="A351" t="s">
        <v>339</v>
      </c>
      <c r="B351" t="s">
        <v>13</v>
      </c>
      <c r="C351" t="s">
        <v>16</v>
      </c>
      <c r="D351">
        <v>0</v>
      </c>
      <c r="E351" t="s">
        <v>22</v>
      </c>
      <c r="F351" t="s">
        <v>16</v>
      </c>
      <c r="G351">
        <v>4768</v>
      </c>
      <c r="H351">
        <v>0</v>
      </c>
      <c r="I351">
        <v>125</v>
      </c>
      <c r="J351">
        <v>360</v>
      </c>
      <c r="K351">
        <v>1</v>
      </c>
      <c r="L351" t="s">
        <v>28</v>
      </c>
      <c r="M351">
        <v>4768</v>
      </c>
      <c r="N351">
        <v>397.33333333333331</v>
      </c>
      <c r="O351" s="3">
        <v>961.14185448041712</v>
      </c>
      <c r="P351" s="3">
        <v>2.4189811773836003</v>
      </c>
      <c r="Q351" t="s">
        <v>395</v>
      </c>
      <c r="R351" t="s">
        <v>403</v>
      </c>
      <c r="S351" t="s">
        <v>404</v>
      </c>
      <c r="T351">
        <v>0</v>
      </c>
      <c r="U351" t="s">
        <v>417</v>
      </c>
    </row>
    <row r="352" spans="1:21" x14ac:dyDescent="0.3">
      <c r="A352" t="s">
        <v>341</v>
      </c>
      <c r="B352" t="s">
        <v>13</v>
      </c>
      <c r="C352" t="s">
        <v>14</v>
      </c>
      <c r="D352">
        <v>1</v>
      </c>
      <c r="E352" t="s">
        <v>15</v>
      </c>
      <c r="F352" t="s">
        <v>16</v>
      </c>
      <c r="G352">
        <v>2667</v>
      </c>
      <c r="H352">
        <v>1542</v>
      </c>
      <c r="I352">
        <v>148</v>
      </c>
      <c r="J352">
        <v>360</v>
      </c>
      <c r="K352">
        <v>1</v>
      </c>
      <c r="L352" t="s">
        <v>28</v>
      </c>
      <c r="M352">
        <v>4209</v>
      </c>
      <c r="N352">
        <v>350.75</v>
      </c>
      <c r="O352" s="3">
        <v>1137.9919557048138</v>
      </c>
      <c r="P352" s="3">
        <v>3.2444531880393837</v>
      </c>
      <c r="Q352" t="s">
        <v>395</v>
      </c>
      <c r="R352" t="s">
        <v>403</v>
      </c>
      <c r="S352" t="s">
        <v>404</v>
      </c>
      <c r="T352">
        <v>0</v>
      </c>
      <c r="U352" t="s">
        <v>417</v>
      </c>
    </row>
    <row r="353" spans="1:21" x14ac:dyDescent="0.3">
      <c r="A353" t="s">
        <v>342</v>
      </c>
      <c r="B353" t="s">
        <v>25</v>
      </c>
      <c r="C353" t="s">
        <v>14</v>
      </c>
      <c r="D353">
        <v>0</v>
      </c>
      <c r="E353" t="s">
        <v>22</v>
      </c>
      <c r="F353" t="s">
        <v>16</v>
      </c>
      <c r="G353">
        <v>1647</v>
      </c>
      <c r="H353">
        <v>1762</v>
      </c>
      <c r="I353">
        <v>181</v>
      </c>
      <c r="J353">
        <v>360</v>
      </c>
      <c r="K353">
        <v>1</v>
      </c>
      <c r="L353" t="s">
        <v>17</v>
      </c>
      <c r="M353">
        <v>3409</v>
      </c>
      <c r="N353">
        <v>284.08333333333331</v>
      </c>
      <c r="O353" s="3">
        <v>1391.7334052876438</v>
      </c>
      <c r="P353" s="3">
        <v>4.8990322274719054</v>
      </c>
      <c r="Q353" t="s">
        <v>395</v>
      </c>
      <c r="R353" t="s">
        <v>403</v>
      </c>
      <c r="S353" t="s">
        <v>404</v>
      </c>
      <c r="T353">
        <v>0</v>
      </c>
      <c r="U353" t="s">
        <v>415</v>
      </c>
    </row>
    <row r="354" spans="1:21" x14ac:dyDescent="0.3">
      <c r="A354" t="s">
        <v>343</v>
      </c>
      <c r="B354" t="s">
        <v>13</v>
      </c>
      <c r="C354" t="s">
        <v>14</v>
      </c>
      <c r="D354">
        <v>3</v>
      </c>
      <c r="E354" t="s">
        <v>15</v>
      </c>
      <c r="F354" t="s">
        <v>16</v>
      </c>
      <c r="G354">
        <v>3400</v>
      </c>
      <c r="H354">
        <v>0</v>
      </c>
      <c r="I354">
        <v>80</v>
      </c>
      <c r="J354">
        <v>120</v>
      </c>
      <c r="K354">
        <v>1</v>
      </c>
      <c r="L354" t="s">
        <v>17</v>
      </c>
      <c r="M354">
        <v>3400</v>
      </c>
      <c r="N354">
        <v>283.33333333333331</v>
      </c>
      <c r="O354" s="3">
        <v>991.88551099608901</v>
      </c>
      <c r="P354" s="3">
        <v>3.5007723917509028</v>
      </c>
      <c r="Q354" t="s">
        <v>395</v>
      </c>
      <c r="R354" t="s">
        <v>403</v>
      </c>
      <c r="S354" t="s">
        <v>406</v>
      </c>
      <c r="T354">
        <v>0</v>
      </c>
      <c r="U354" t="s">
        <v>415</v>
      </c>
    </row>
    <row r="355" spans="1:21" x14ac:dyDescent="0.3">
      <c r="A355" t="s">
        <v>347</v>
      </c>
      <c r="B355" t="s">
        <v>13</v>
      </c>
      <c r="C355" t="s">
        <v>14</v>
      </c>
      <c r="D355">
        <v>1</v>
      </c>
      <c r="E355" t="s">
        <v>22</v>
      </c>
      <c r="F355" t="s">
        <v>16</v>
      </c>
      <c r="G355">
        <v>2600</v>
      </c>
      <c r="H355">
        <v>618</v>
      </c>
      <c r="I355">
        <v>122</v>
      </c>
      <c r="J355">
        <v>360</v>
      </c>
      <c r="K355">
        <v>1</v>
      </c>
      <c r="L355" t="s">
        <v>26</v>
      </c>
      <c r="M355">
        <v>3218</v>
      </c>
      <c r="N355">
        <v>268.16666666666669</v>
      </c>
      <c r="O355" s="3">
        <v>938.07444997288701</v>
      </c>
      <c r="P355" s="3">
        <v>3.4981023616142459</v>
      </c>
      <c r="Q355" t="s">
        <v>395</v>
      </c>
      <c r="R355" t="s">
        <v>403</v>
      </c>
      <c r="S355" t="s">
        <v>404</v>
      </c>
      <c r="T355">
        <v>0</v>
      </c>
      <c r="U355" t="s">
        <v>416</v>
      </c>
    </row>
    <row r="356" spans="1:21" x14ac:dyDescent="0.3">
      <c r="A356" t="s">
        <v>354</v>
      </c>
      <c r="B356" t="s">
        <v>25</v>
      </c>
      <c r="C356" t="s">
        <v>14</v>
      </c>
      <c r="D356">
        <v>0</v>
      </c>
      <c r="E356" t="s">
        <v>15</v>
      </c>
      <c r="F356" t="s">
        <v>16</v>
      </c>
      <c r="G356">
        <v>4709</v>
      </c>
      <c r="H356">
        <v>0</v>
      </c>
      <c r="I356">
        <v>113</v>
      </c>
      <c r="J356">
        <v>360</v>
      </c>
      <c r="K356">
        <v>1</v>
      </c>
      <c r="L356" t="s">
        <v>26</v>
      </c>
      <c r="M356">
        <v>4709</v>
      </c>
      <c r="N356">
        <v>392.41666666666669</v>
      </c>
      <c r="O356" s="3">
        <v>868.87223645029701</v>
      </c>
      <c r="P356" s="3">
        <v>2.2141573237212917</v>
      </c>
      <c r="Q356" t="s">
        <v>395</v>
      </c>
      <c r="R356" t="s">
        <v>403</v>
      </c>
      <c r="S356" t="s">
        <v>404</v>
      </c>
      <c r="T356">
        <v>0</v>
      </c>
      <c r="U356" t="s">
        <v>416</v>
      </c>
    </row>
    <row r="357" spans="1:21" x14ac:dyDescent="0.3">
      <c r="A357" t="s">
        <v>355</v>
      </c>
      <c r="B357" t="s">
        <v>13</v>
      </c>
      <c r="C357" t="s">
        <v>14</v>
      </c>
      <c r="D357">
        <v>0</v>
      </c>
      <c r="E357" t="s">
        <v>15</v>
      </c>
      <c r="F357" t="s">
        <v>16</v>
      </c>
      <c r="G357">
        <v>1516</v>
      </c>
      <c r="H357">
        <v>1951</v>
      </c>
      <c r="I357">
        <v>35</v>
      </c>
      <c r="J357">
        <v>360</v>
      </c>
      <c r="K357">
        <v>1</v>
      </c>
      <c r="L357" t="s">
        <v>26</v>
      </c>
      <c r="M357">
        <v>3467</v>
      </c>
      <c r="N357">
        <v>288.91666666666669</v>
      </c>
      <c r="O357" s="3">
        <v>269.11971925451678</v>
      </c>
      <c r="P357" s="3">
        <v>0.9314786936989331</v>
      </c>
      <c r="Q357" t="s">
        <v>395</v>
      </c>
      <c r="R357" t="s">
        <v>403</v>
      </c>
      <c r="S357" t="s">
        <v>406</v>
      </c>
      <c r="T357">
        <v>0</v>
      </c>
      <c r="U357" t="s">
        <v>416</v>
      </c>
    </row>
    <row r="358" spans="1:21" x14ac:dyDescent="0.3">
      <c r="A358" t="s">
        <v>356</v>
      </c>
      <c r="B358" t="s">
        <v>13</v>
      </c>
      <c r="C358" t="s">
        <v>16</v>
      </c>
      <c r="D358">
        <v>2</v>
      </c>
      <c r="E358" t="s">
        <v>15</v>
      </c>
      <c r="F358" t="s">
        <v>16</v>
      </c>
      <c r="G358">
        <v>2400</v>
      </c>
      <c r="H358">
        <v>0</v>
      </c>
      <c r="I358">
        <v>46</v>
      </c>
      <c r="J358">
        <v>360</v>
      </c>
      <c r="K358">
        <v>1</v>
      </c>
      <c r="L358" t="s">
        <v>17</v>
      </c>
      <c r="M358">
        <v>2400</v>
      </c>
      <c r="N358">
        <v>200</v>
      </c>
      <c r="O358" s="3">
        <v>353.70020244879345</v>
      </c>
      <c r="P358" s="3">
        <v>1.7685010122439673</v>
      </c>
      <c r="Q358" t="s">
        <v>395</v>
      </c>
      <c r="R358" t="s">
        <v>403</v>
      </c>
      <c r="S358" t="s">
        <v>406</v>
      </c>
      <c r="T358">
        <v>0</v>
      </c>
      <c r="U358" t="s">
        <v>415</v>
      </c>
    </row>
    <row r="359" spans="1:21" x14ac:dyDescent="0.3">
      <c r="A359" t="s">
        <v>358</v>
      </c>
      <c r="B359" t="s">
        <v>13</v>
      </c>
      <c r="C359" t="s">
        <v>14</v>
      </c>
      <c r="D359">
        <v>0</v>
      </c>
      <c r="E359" t="s">
        <v>15</v>
      </c>
      <c r="F359" t="s">
        <v>16</v>
      </c>
      <c r="G359">
        <v>2292</v>
      </c>
      <c r="H359">
        <v>1558</v>
      </c>
      <c r="I359">
        <v>119</v>
      </c>
      <c r="J359">
        <v>360</v>
      </c>
      <c r="K359">
        <v>1</v>
      </c>
      <c r="L359" t="s">
        <v>17</v>
      </c>
      <c r="M359">
        <v>3850</v>
      </c>
      <c r="N359">
        <v>320.83333333333331</v>
      </c>
      <c r="O359" s="3">
        <v>915.00704546535701</v>
      </c>
      <c r="P359" s="3">
        <v>2.8519700118400739</v>
      </c>
      <c r="Q359" t="s">
        <v>395</v>
      </c>
      <c r="R359" t="s">
        <v>403</v>
      </c>
      <c r="S359" t="s">
        <v>404</v>
      </c>
      <c r="T359">
        <v>0</v>
      </c>
      <c r="U359" t="s">
        <v>415</v>
      </c>
    </row>
    <row r="360" spans="1:21" x14ac:dyDescent="0.3">
      <c r="A360" t="s">
        <v>363</v>
      </c>
      <c r="B360" t="s">
        <v>13</v>
      </c>
      <c r="C360" t="s">
        <v>14</v>
      </c>
      <c r="D360">
        <v>3</v>
      </c>
      <c r="E360" t="s">
        <v>22</v>
      </c>
      <c r="F360" t="s">
        <v>16</v>
      </c>
      <c r="G360">
        <v>3522</v>
      </c>
      <c r="H360">
        <v>0</v>
      </c>
      <c r="I360">
        <v>81</v>
      </c>
      <c r="J360">
        <v>180</v>
      </c>
      <c r="K360">
        <v>1</v>
      </c>
      <c r="L360" t="s">
        <v>28</v>
      </c>
      <c r="M360">
        <v>3522</v>
      </c>
      <c r="N360">
        <v>293.5</v>
      </c>
      <c r="O360" s="3">
        <v>797.63904191973052</v>
      </c>
      <c r="P360" s="3">
        <v>2.7176798702546185</v>
      </c>
      <c r="Q360" t="s">
        <v>395</v>
      </c>
      <c r="R360" t="s">
        <v>403</v>
      </c>
      <c r="S360" t="s">
        <v>406</v>
      </c>
      <c r="T360">
        <v>0</v>
      </c>
      <c r="U360" t="s">
        <v>417</v>
      </c>
    </row>
    <row r="361" spans="1:21" x14ac:dyDescent="0.3">
      <c r="A361" t="s">
        <v>364</v>
      </c>
      <c r="B361" t="s">
        <v>13</v>
      </c>
      <c r="C361" t="s">
        <v>14</v>
      </c>
      <c r="D361">
        <v>1</v>
      </c>
      <c r="E361" t="s">
        <v>15</v>
      </c>
      <c r="F361" t="s">
        <v>16</v>
      </c>
      <c r="G361">
        <v>4700</v>
      </c>
      <c r="H361">
        <v>0</v>
      </c>
      <c r="I361">
        <v>80</v>
      </c>
      <c r="J361">
        <v>360</v>
      </c>
      <c r="K361">
        <v>1</v>
      </c>
      <c r="L361" t="s">
        <v>17</v>
      </c>
      <c r="M361">
        <v>4700</v>
      </c>
      <c r="N361">
        <v>391.66666666666669</v>
      </c>
      <c r="O361" s="3">
        <v>615.1307868674669</v>
      </c>
      <c r="P361" s="3">
        <v>1.5705466898743834</v>
      </c>
      <c r="Q361" t="s">
        <v>395</v>
      </c>
      <c r="R361" t="s">
        <v>403</v>
      </c>
      <c r="S361" t="s">
        <v>406</v>
      </c>
      <c r="T361">
        <v>0</v>
      </c>
      <c r="U361" t="s">
        <v>415</v>
      </c>
    </row>
    <row r="362" spans="1:21" x14ac:dyDescent="0.3">
      <c r="A362" t="s">
        <v>368</v>
      </c>
      <c r="B362" t="s">
        <v>13</v>
      </c>
      <c r="C362" t="s">
        <v>16</v>
      </c>
      <c r="D362">
        <v>0</v>
      </c>
      <c r="E362" t="s">
        <v>22</v>
      </c>
      <c r="F362" t="s">
        <v>16</v>
      </c>
      <c r="G362">
        <v>2868</v>
      </c>
      <c r="H362">
        <v>0</v>
      </c>
      <c r="I362">
        <v>70</v>
      </c>
      <c r="J362">
        <v>360</v>
      </c>
      <c r="K362">
        <v>1</v>
      </c>
      <c r="L362" t="s">
        <v>17</v>
      </c>
      <c r="M362">
        <v>2868</v>
      </c>
      <c r="N362">
        <v>239</v>
      </c>
      <c r="O362" s="3">
        <v>538.23943850903356</v>
      </c>
      <c r="P362" s="3">
        <v>2.2520478598704332</v>
      </c>
      <c r="Q362" t="s">
        <v>395</v>
      </c>
      <c r="R362" t="s">
        <v>403</v>
      </c>
      <c r="S362" t="s">
        <v>406</v>
      </c>
      <c r="T362">
        <v>0</v>
      </c>
      <c r="U362" t="s">
        <v>415</v>
      </c>
    </row>
    <row r="363" spans="1:21" x14ac:dyDescent="0.3">
      <c r="A363" t="s">
        <v>369</v>
      </c>
      <c r="B363" t="s">
        <v>13</v>
      </c>
      <c r="C363" t="s">
        <v>14</v>
      </c>
      <c r="D363">
        <v>2</v>
      </c>
      <c r="E363" t="s">
        <v>22</v>
      </c>
      <c r="F363" t="s">
        <v>16</v>
      </c>
      <c r="G363">
        <v>3418</v>
      </c>
      <c r="H363">
        <v>1380</v>
      </c>
      <c r="I363">
        <v>135</v>
      </c>
      <c r="J363">
        <v>360</v>
      </c>
      <c r="K363">
        <v>1</v>
      </c>
      <c r="L363" t="s">
        <v>17</v>
      </c>
      <c r="M363">
        <v>4798</v>
      </c>
      <c r="N363">
        <v>399.83333333333331</v>
      </c>
      <c r="O363" s="3">
        <v>1038.0332028388502</v>
      </c>
      <c r="P363" s="3">
        <v>2.5961647424064616</v>
      </c>
      <c r="Q363" t="s">
        <v>395</v>
      </c>
      <c r="R363" t="s">
        <v>403</v>
      </c>
      <c r="S363" t="s">
        <v>404</v>
      </c>
      <c r="T363">
        <v>0</v>
      </c>
      <c r="U363" t="s">
        <v>415</v>
      </c>
    </row>
    <row r="364" spans="1:21" x14ac:dyDescent="0.3">
      <c r="A364" t="s">
        <v>370</v>
      </c>
      <c r="B364" t="s">
        <v>13</v>
      </c>
      <c r="C364" t="s">
        <v>14</v>
      </c>
      <c r="D364">
        <v>0</v>
      </c>
      <c r="E364" t="s">
        <v>15</v>
      </c>
      <c r="F364" t="s">
        <v>14</v>
      </c>
      <c r="G364">
        <v>2500</v>
      </c>
      <c r="H364">
        <v>296</v>
      </c>
      <c r="I364">
        <v>137</v>
      </c>
      <c r="J364">
        <v>300</v>
      </c>
      <c r="K364">
        <v>1</v>
      </c>
      <c r="L364" t="s">
        <v>28</v>
      </c>
      <c r="M364">
        <v>2796</v>
      </c>
      <c r="N364">
        <v>233</v>
      </c>
      <c r="O364" s="3">
        <v>1103.1611043431199</v>
      </c>
      <c r="P364" s="3">
        <v>4.7345970143481537</v>
      </c>
      <c r="Q364" t="s">
        <v>395</v>
      </c>
      <c r="R364" t="s">
        <v>403</v>
      </c>
      <c r="S364" t="s">
        <v>404</v>
      </c>
      <c r="T364">
        <v>0</v>
      </c>
      <c r="U364" t="s">
        <v>417</v>
      </c>
    </row>
    <row r="365" spans="1:21" x14ac:dyDescent="0.3">
      <c r="A365" t="s">
        <v>378</v>
      </c>
      <c r="B365" t="s">
        <v>13</v>
      </c>
      <c r="C365" t="s">
        <v>16</v>
      </c>
      <c r="D365">
        <v>0</v>
      </c>
      <c r="E365" t="s">
        <v>15</v>
      </c>
      <c r="F365" t="s">
        <v>16</v>
      </c>
      <c r="G365">
        <v>2500</v>
      </c>
      <c r="H365">
        <v>0</v>
      </c>
      <c r="I365">
        <v>60</v>
      </c>
      <c r="J365">
        <v>360</v>
      </c>
      <c r="K365">
        <v>1</v>
      </c>
      <c r="L365" t="s">
        <v>17</v>
      </c>
      <c r="M365">
        <v>2500</v>
      </c>
      <c r="N365">
        <v>208.33333333333334</v>
      </c>
      <c r="O365" s="3">
        <v>461.34809015060017</v>
      </c>
      <c r="P365" s="3">
        <v>2.2144708327228808</v>
      </c>
      <c r="Q365" t="s">
        <v>395</v>
      </c>
      <c r="R365" t="s">
        <v>403</v>
      </c>
      <c r="S365" t="s">
        <v>406</v>
      </c>
      <c r="T365">
        <v>0</v>
      </c>
      <c r="U365" t="s">
        <v>415</v>
      </c>
    </row>
    <row r="366" spans="1:21" x14ac:dyDescent="0.3">
      <c r="A366" t="s">
        <v>379</v>
      </c>
      <c r="B366" t="s">
        <v>13</v>
      </c>
      <c r="C366" t="s">
        <v>14</v>
      </c>
      <c r="D366">
        <v>2</v>
      </c>
      <c r="E366" t="s">
        <v>22</v>
      </c>
      <c r="F366" t="s">
        <v>16</v>
      </c>
      <c r="G366">
        <v>3132</v>
      </c>
      <c r="H366">
        <v>0</v>
      </c>
      <c r="I366">
        <v>76</v>
      </c>
      <c r="J366">
        <v>360</v>
      </c>
      <c r="K366">
        <v>0</v>
      </c>
      <c r="L366" t="s">
        <v>28</v>
      </c>
      <c r="M366">
        <v>3132</v>
      </c>
      <c r="N366">
        <v>261</v>
      </c>
      <c r="O366" s="3">
        <v>584.37424752409356</v>
      </c>
      <c r="P366" s="3">
        <v>2.238981791280052</v>
      </c>
      <c r="Q366" t="s">
        <v>394</v>
      </c>
      <c r="R366" t="s">
        <v>403</v>
      </c>
      <c r="S366" t="s">
        <v>406</v>
      </c>
      <c r="T366">
        <v>1</v>
      </c>
      <c r="U366" t="s">
        <v>417</v>
      </c>
    </row>
    <row r="367" spans="1:21" x14ac:dyDescent="0.3">
      <c r="A367" t="s">
        <v>382</v>
      </c>
      <c r="B367" t="s">
        <v>13</v>
      </c>
      <c r="C367" t="s">
        <v>14</v>
      </c>
      <c r="D367">
        <v>1</v>
      </c>
      <c r="E367" t="s">
        <v>15</v>
      </c>
      <c r="F367" t="s">
        <v>16</v>
      </c>
      <c r="G367">
        <v>2269</v>
      </c>
      <c r="H367">
        <v>2167</v>
      </c>
      <c r="I367">
        <v>99</v>
      </c>
      <c r="J367">
        <v>360</v>
      </c>
      <c r="K367">
        <v>1</v>
      </c>
      <c r="L367" t="s">
        <v>26</v>
      </c>
      <c r="M367">
        <v>4436</v>
      </c>
      <c r="N367">
        <v>369.66666666666669</v>
      </c>
      <c r="O367" s="3">
        <v>761.22434874849023</v>
      </c>
      <c r="P367" s="3">
        <v>2.0592182563079087</v>
      </c>
      <c r="Q367" t="s">
        <v>395</v>
      </c>
      <c r="R367" t="s">
        <v>403</v>
      </c>
      <c r="S367" t="s">
        <v>406</v>
      </c>
      <c r="T367">
        <v>0</v>
      </c>
      <c r="U367" t="s">
        <v>416</v>
      </c>
    </row>
    <row r="368" spans="1:21" x14ac:dyDescent="0.3">
      <c r="A368" t="s">
        <v>384</v>
      </c>
      <c r="B368" t="s">
        <v>13</v>
      </c>
      <c r="C368" t="s">
        <v>14</v>
      </c>
      <c r="D368">
        <v>0</v>
      </c>
      <c r="E368" t="s">
        <v>15</v>
      </c>
      <c r="F368" t="s">
        <v>16</v>
      </c>
      <c r="G368">
        <v>4158</v>
      </c>
      <c r="H368">
        <v>709</v>
      </c>
      <c r="I368">
        <v>115</v>
      </c>
      <c r="J368">
        <v>360</v>
      </c>
      <c r="K368">
        <v>1</v>
      </c>
      <c r="L368" t="s">
        <v>17</v>
      </c>
      <c r="M368">
        <v>4867</v>
      </c>
      <c r="N368">
        <v>405.58333333333331</v>
      </c>
      <c r="O368" s="3">
        <v>884.25050612198368</v>
      </c>
      <c r="P368" s="3">
        <v>2.1801943853428818</v>
      </c>
      <c r="Q368" t="s">
        <v>395</v>
      </c>
      <c r="R368" t="s">
        <v>403</v>
      </c>
      <c r="S368" t="s">
        <v>404</v>
      </c>
      <c r="T368">
        <v>0</v>
      </c>
      <c r="U368" t="s">
        <v>415</v>
      </c>
    </row>
  </sheetData>
  <autoFilter ref="A1:U368" xr:uid="{6BE87605-FAE9-4279-9926-A69F80D3FA7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D30F-5B97-4CD7-A9DE-51C3D31FF8E4}">
  <dimension ref="A3:D9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8" bestFit="1" customWidth="1"/>
    <col min="4" max="4" width="15.109375" bestFit="1" customWidth="1"/>
  </cols>
  <sheetData>
    <row r="3" spans="1:4" x14ac:dyDescent="0.3">
      <c r="A3" s="1" t="s">
        <v>388</v>
      </c>
      <c r="B3" t="s">
        <v>410</v>
      </c>
      <c r="C3" t="s">
        <v>413</v>
      </c>
      <c r="D3" t="s">
        <v>412</v>
      </c>
    </row>
    <row r="4" spans="1:4" x14ac:dyDescent="0.3">
      <c r="A4" s="2" t="s">
        <v>399</v>
      </c>
      <c r="B4">
        <v>169</v>
      </c>
      <c r="C4">
        <v>37</v>
      </c>
      <c r="D4" s="4">
        <f>C4/B4</f>
        <v>0.21893491124260356</v>
      </c>
    </row>
    <row r="5" spans="1:4" x14ac:dyDescent="0.3">
      <c r="A5" s="2" t="s">
        <v>400</v>
      </c>
      <c r="B5">
        <v>8</v>
      </c>
      <c r="C5">
        <v>2</v>
      </c>
      <c r="D5" s="4">
        <f t="shared" ref="D5:D9" si="0">C5/B5</f>
        <v>0.25</v>
      </c>
    </row>
    <row r="6" spans="1:4" x14ac:dyDescent="0.3">
      <c r="A6" s="2" t="s">
        <v>401</v>
      </c>
      <c r="B6">
        <v>23</v>
      </c>
      <c r="C6">
        <v>5</v>
      </c>
      <c r="D6" s="4">
        <f t="shared" si="0"/>
        <v>0.21739130434782608</v>
      </c>
    </row>
    <row r="7" spans="1:4" x14ac:dyDescent="0.3">
      <c r="A7" s="2" t="s">
        <v>402</v>
      </c>
      <c r="B7">
        <v>1</v>
      </c>
      <c r="C7">
        <v>0</v>
      </c>
      <c r="D7" s="4">
        <f t="shared" si="0"/>
        <v>0</v>
      </c>
    </row>
    <row r="8" spans="1:4" x14ac:dyDescent="0.3">
      <c r="A8" s="2" t="s">
        <v>403</v>
      </c>
      <c r="B8">
        <v>166</v>
      </c>
      <c r="C8">
        <v>44</v>
      </c>
      <c r="D8" s="4">
        <f t="shared" si="0"/>
        <v>0.26506024096385544</v>
      </c>
    </row>
    <row r="9" spans="1:4" x14ac:dyDescent="0.3">
      <c r="A9" s="2" t="s">
        <v>389</v>
      </c>
      <c r="B9">
        <v>367</v>
      </c>
      <c r="C9">
        <v>88</v>
      </c>
      <c r="D9" s="4">
        <f t="shared" si="0"/>
        <v>0.23978201634877383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DAC7-0F35-404F-816C-3D04679CFBDA}">
  <dimension ref="A3:D7"/>
  <sheetViews>
    <sheetView workbookViewId="0">
      <selection activeCell="E12" sqref="E12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8" bestFit="1" customWidth="1"/>
  </cols>
  <sheetData>
    <row r="3" spans="1:4" x14ac:dyDescent="0.3">
      <c r="A3" s="1" t="s">
        <v>388</v>
      </c>
      <c r="B3" t="s">
        <v>410</v>
      </c>
      <c r="C3" t="s">
        <v>413</v>
      </c>
      <c r="D3" t="s">
        <v>418</v>
      </c>
    </row>
    <row r="4" spans="1:4" x14ac:dyDescent="0.3">
      <c r="A4" s="2" t="s">
        <v>417</v>
      </c>
      <c r="B4">
        <v>111</v>
      </c>
      <c r="C4">
        <v>28</v>
      </c>
      <c r="D4">
        <f>C4/B4</f>
        <v>0.25225225225225223</v>
      </c>
    </row>
    <row r="5" spans="1:4" x14ac:dyDescent="0.3">
      <c r="A5" s="2" t="s">
        <v>416</v>
      </c>
      <c r="B5">
        <v>116</v>
      </c>
      <c r="C5">
        <v>32</v>
      </c>
      <c r="D5">
        <f t="shared" ref="D5:D7" si="0">C5/B5</f>
        <v>0.27586206896551724</v>
      </c>
    </row>
    <row r="6" spans="1:4" x14ac:dyDescent="0.3">
      <c r="A6" s="2" t="s">
        <v>415</v>
      </c>
      <c r="B6">
        <v>140</v>
      </c>
      <c r="C6">
        <v>28</v>
      </c>
      <c r="D6">
        <f t="shared" si="0"/>
        <v>0.2</v>
      </c>
    </row>
    <row r="7" spans="1:4" x14ac:dyDescent="0.3">
      <c r="A7" s="2" t="s">
        <v>389</v>
      </c>
      <c r="B7">
        <v>367</v>
      </c>
      <c r="C7">
        <v>88</v>
      </c>
      <c r="D7">
        <f t="shared" si="0"/>
        <v>0.23978201634877383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05F6-87E5-4972-8BD8-0C37ADFA2988}">
  <dimension ref="A3:D10"/>
  <sheetViews>
    <sheetView workbookViewId="0">
      <selection activeCell="F15" sqref="F15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8" bestFit="1" customWidth="1"/>
  </cols>
  <sheetData>
    <row r="3" spans="1:4" x14ac:dyDescent="0.3">
      <c r="A3" s="1" t="s">
        <v>388</v>
      </c>
      <c r="B3" t="s">
        <v>410</v>
      </c>
      <c r="C3" t="s">
        <v>413</v>
      </c>
      <c r="D3" t="s">
        <v>419</v>
      </c>
    </row>
    <row r="4" spans="1:4" x14ac:dyDescent="0.3">
      <c r="A4" s="2" t="s">
        <v>409</v>
      </c>
      <c r="B4">
        <v>2</v>
      </c>
      <c r="C4">
        <v>0</v>
      </c>
      <c r="D4">
        <f>C4/B4</f>
        <v>0</v>
      </c>
    </row>
    <row r="5" spans="1:4" x14ac:dyDescent="0.3">
      <c r="A5" s="2" t="s">
        <v>407</v>
      </c>
      <c r="B5">
        <v>6</v>
      </c>
      <c r="C5">
        <v>1</v>
      </c>
      <c r="D5">
        <f t="shared" ref="D5:D10" si="0">C5/B5</f>
        <v>0.16666666666666666</v>
      </c>
    </row>
    <row r="6" spans="1:4" x14ac:dyDescent="0.3">
      <c r="A6" s="2" t="s">
        <v>405</v>
      </c>
      <c r="B6">
        <v>26</v>
      </c>
      <c r="C6">
        <v>2</v>
      </c>
      <c r="D6">
        <f t="shared" si="0"/>
        <v>7.6923076923076927E-2</v>
      </c>
    </row>
    <row r="7" spans="1:4" x14ac:dyDescent="0.3">
      <c r="A7" s="2" t="s">
        <v>404</v>
      </c>
      <c r="B7">
        <v>250</v>
      </c>
      <c r="C7">
        <v>68</v>
      </c>
      <c r="D7">
        <f t="shared" si="0"/>
        <v>0.27200000000000002</v>
      </c>
    </row>
    <row r="8" spans="1:4" x14ac:dyDescent="0.3">
      <c r="A8" s="2" t="s">
        <v>408</v>
      </c>
      <c r="B8">
        <v>1</v>
      </c>
      <c r="C8">
        <v>1</v>
      </c>
      <c r="D8">
        <f t="shared" si="0"/>
        <v>1</v>
      </c>
    </row>
    <row r="9" spans="1:4" x14ac:dyDescent="0.3">
      <c r="A9" s="2" t="s">
        <v>406</v>
      </c>
      <c r="B9">
        <v>82</v>
      </c>
      <c r="C9">
        <v>16</v>
      </c>
      <c r="D9">
        <f t="shared" si="0"/>
        <v>0.1951219512195122</v>
      </c>
    </row>
    <row r="10" spans="1:4" x14ac:dyDescent="0.3">
      <c r="A10" s="2" t="s">
        <v>389</v>
      </c>
      <c r="B10">
        <v>367</v>
      </c>
      <c r="C10">
        <v>88</v>
      </c>
      <c r="D10">
        <f t="shared" si="0"/>
        <v>0.23978201634877383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loan_dataset</vt:lpstr>
      <vt:lpstr>Income_Group</vt:lpstr>
      <vt:lpstr>City_Tier</vt:lpstr>
      <vt:lpstr>Loan_Amount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Kashyap</dc:creator>
  <cp:lastModifiedBy>Nikita Kashyap</cp:lastModifiedBy>
  <dcterms:created xsi:type="dcterms:W3CDTF">2026-01-14T08:59:06Z</dcterms:created>
  <dcterms:modified xsi:type="dcterms:W3CDTF">2026-01-21T08:34:35Z</dcterms:modified>
</cp:coreProperties>
</file>